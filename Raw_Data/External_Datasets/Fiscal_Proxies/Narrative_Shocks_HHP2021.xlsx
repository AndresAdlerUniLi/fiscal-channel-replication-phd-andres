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ud\Desktop\"/>
    </mc:Choice>
  </mc:AlternateContent>
  <xr:revisionPtr revIDLastSave="0" documentId="13_ncr:1_{30708460-FA22-460C-A100-7DEFEB080177}" xr6:coauthVersionLast="45" xr6:coauthVersionMax="45" xr10:uidLastSave="{00000000-0000-0000-0000-000000000000}"/>
  <bookViews>
    <workbookView xWindow="-110" yWindow="-110" windowWidth="19420" windowHeight="10420" tabRatio="802" activeTab="1" xr2:uid="{00000000-000D-0000-FFFF-FFFF00000000}"/>
  </bookViews>
  <sheets>
    <sheet name="Narrative Shocks_READ ME" sheetId="7" r:id="rId1"/>
    <sheet name="Narrative Shocks (Quarterly)" sheetId="6" r:id="rId2"/>
    <sheet name="Chart1_CI" sheetId="9" r:id="rId3"/>
    <sheet name="Chart2_PI" sheetId="10" r:id="rId4"/>
    <sheet name="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9" i="6" l="1"/>
  <c r="I280" i="6"/>
  <c r="I281" i="6"/>
  <c r="G280" i="6"/>
  <c r="G281" i="6"/>
  <c r="F280" i="6"/>
  <c r="F281" i="6"/>
  <c r="H279" i="6"/>
  <c r="H280" i="6"/>
  <c r="H281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" i="6"/>
  <c r="E292" i="4"/>
  <c r="E293" i="4"/>
  <c r="F291" i="4" l="1"/>
  <c r="F292" i="4"/>
  <c r="F293" i="4"/>
  <c r="F290" i="4"/>
  <c r="E291" i="4"/>
  <c r="G279" i="6"/>
  <c r="B287" i="6" l="1"/>
  <c r="B285" i="6"/>
  <c r="I278" i="6" l="1"/>
  <c r="G278" i="6"/>
  <c r="I277" i="6"/>
  <c r="G277" i="6"/>
  <c r="I276" i="6"/>
  <c r="G276" i="6"/>
  <c r="I275" i="6"/>
  <c r="G275" i="6"/>
  <c r="I274" i="6"/>
  <c r="G274" i="6"/>
  <c r="I273" i="6"/>
  <c r="G273" i="6"/>
  <c r="I272" i="6"/>
  <c r="G272" i="6"/>
  <c r="I271" i="6"/>
  <c r="G271" i="6"/>
  <c r="I270" i="6"/>
  <c r="G270" i="6"/>
  <c r="I269" i="6"/>
  <c r="G269" i="6"/>
  <c r="I268" i="6"/>
  <c r="G268" i="6"/>
  <c r="I267" i="6"/>
  <c r="G267" i="6"/>
  <c r="I266" i="6"/>
  <c r="G266" i="6"/>
  <c r="I265" i="6"/>
  <c r="G265" i="6"/>
  <c r="I264" i="6"/>
  <c r="G264" i="6"/>
  <c r="I263" i="6"/>
  <c r="G263" i="6"/>
  <c r="I262" i="6"/>
  <c r="G262" i="6"/>
  <c r="I261" i="6"/>
  <c r="G261" i="6"/>
  <c r="I260" i="6"/>
  <c r="G260" i="6"/>
  <c r="I259" i="6"/>
  <c r="G259" i="6"/>
  <c r="I258" i="6"/>
  <c r="G258" i="6"/>
  <c r="I257" i="6"/>
  <c r="G257" i="6"/>
  <c r="I256" i="6"/>
  <c r="G256" i="6"/>
  <c r="I255" i="6"/>
  <c r="G255" i="6"/>
  <c r="I254" i="6"/>
  <c r="G254" i="6"/>
  <c r="I253" i="6"/>
  <c r="G253" i="6"/>
  <c r="I252" i="6"/>
  <c r="G252" i="6"/>
  <c r="I251" i="6"/>
  <c r="G251" i="6"/>
  <c r="I250" i="6"/>
  <c r="G250" i="6"/>
  <c r="I249" i="6"/>
  <c r="G249" i="6"/>
  <c r="I248" i="6"/>
  <c r="G248" i="6"/>
  <c r="I247" i="6"/>
  <c r="G247" i="6"/>
  <c r="I246" i="6"/>
  <c r="G246" i="6"/>
  <c r="I245" i="6"/>
  <c r="G245" i="6"/>
  <c r="I244" i="6"/>
  <c r="G244" i="6"/>
  <c r="I243" i="6"/>
  <c r="G243" i="6"/>
  <c r="I242" i="6"/>
  <c r="G242" i="6"/>
  <c r="I241" i="6"/>
  <c r="G241" i="6"/>
  <c r="I240" i="6"/>
  <c r="G240" i="6"/>
  <c r="I239" i="6"/>
  <c r="G239" i="6"/>
  <c r="I238" i="6"/>
  <c r="G238" i="6"/>
  <c r="I237" i="6"/>
  <c r="G237" i="6"/>
  <c r="I236" i="6"/>
  <c r="G236" i="6"/>
  <c r="I235" i="6"/>
  <c r="G235" i="6"/>
  <c r="I234" i="6"/>
  <c r="G234" i="6"/>
  <c r="I233" i="6"/>
  <c r="G233" i="6"/>
  <c r="I232" i="6"/>
  <c r="G232" i="6"/>
  <c r="I231" i="6"/>
  <c r="G231" i="6"/>
  <c r="I230" i="6"/>
  <c r="G230" i="6"/>
  <c r="I229" i="6"/>
  <c r="G229" i="6"/>
  <c r="I228" i="6"/>
  <c r="G228" i="6"/>
  <c r="I227" i="6"/>
  <c r="G227" i="6"/>
  <c r="I226" i="6"/>
  <c r="G226" i="6"/>
  <c r="I225" i="6"/>
  <c r="G225" i="6"/>
  <c r="I224" i="6"/>
  <c r="G224" i="6"/>
  <c r="I223" i="6"/>
  <c r="G223" i="6"/>
  <c r="I222" i="6"/>
  <c r="G222" i="6"/>
  <c r="I221" i="6"/>
  <c r="G221" i="6"/>
  <c r="I220" i="6"/>
  <c r="G220" i="6"/>
  <c r="I219" i="6"/>
  <c r="G219" i="6"/>
  <c r="I218" i="6"/>
  <c r="G218" i="6"/>
  <c r="I217" i="6"/>
  <c r="G217" i="6"/>
  <c r="I216" i="6"/>
  <c r="G216" i="6"/>
  <c r="I215" i="6"/>
  <c r="G215" i="6"/>
  <c r="I214" i="6"/>
  <c r="G214" i="6"/>
  <c r="I213" i="6"/>
  <c r="G213" i="6"/>
  <c r="I212" i="6"/>
  <c r="G212" i="6"/>
  <c r="I211" i="6"/>
  <c r="G211" i="6"/>
  <c r="I210" i="6"/>
  <c r="G210" i="6"/>
  <c r="I209" i="6"/>
  <c r="G209" i="6"/>
  <c r="I208" i="6"/>
  <c r="G208" i="6"/>
  <c r="I207" i="6"/>
  <c r="G207" i="6"/>
  <c r="I206" i="6"/>
  <c r="G206" i="6"/>
  <c r="I205" i="6"/>
  <c r="G205" i="6"/>
  <c r="I204" i="6"/>
  <c r="G204" i="6"/>
  <c r="I203" i="6"/>
  <c r="G203" i="6"/>
  <c r="I202" i="6"/>
  <c r="G202" i="6"/>
  <c r="I201" i="6"/>
  <c r="G201" i="6"/>
  <c r="I200" i="6"/>
  <c r="G200" i="6"/>
  <c r="I199" i="6"/>
  <c r="G199" i="6"/>
  <c r="I198" i="6"/>
  <c r="G198" i="6"/>
  <c r="I197" i="6"/>
  <c r="G197" i="6"/>
  <c r="I196" i="6"/>
  <c r="G196" i="6"/>
  <c r="I195" i="6"/>
  <c r="G195" i="6"/>
  <c r="I194" i="6"/>
  <c r="G194" i="6"/>
  <c r="I193" i="6"/>
  <c r="G193" i="6"/>
  <c r="I192" i="6"/>
  <c r="G192" i="6"/>
  <c r="I191" i="6"/>
  <c r="G191" i="6"/>
  <c r="I190" i="6"/>
  <c r="G190" i="6"/>
  <c r="I189" i="6"/>
  <c r="G189" i="6"/>
  <c r="I188" i="6"/>
  <c r="G188" i="6"/>
  <c r="I187" i="6"/>
  <c r="G187" i="6"/>
  <c r="I186" i="6"/>
  <c r="G186" i="6"/>
  <c r="I185" i="6"/>
  <c r="G185" i="6"/>
  <c r="I184" i="6"/>
  <c r="G184" i="6"/>
  <c r="I183" i="6"/>
  <c r="G183" i="6"/>
  <c r="I182" i="6"/>
  <c r="G182" i="6"/>
  <c r="I181" i="6"/>
  <c r="G181" i="6"/>
  <c r="I180" i="6"/>
  <c r="G180" i="6"/>
  <c r="I179" i="6"/>
  <c r="G179" i="6"/>
  <c r="I178" i="6"/>
  <c r="G178" i="6"/>
  <c r="I177" i="6"/>
  <c r="G177" i="6"/>
  <c r="I176" i="6"/>
  <c r="G176" i="6"/>
  <c r="I175" i="6"/>
  <c r="G175" i="6"/>
  <c r="I174" i="6"/>
  <c r="G174" i="6"/>
  <c r="I173" i="6"/>
  <c r="G173" i="6"/>
  <c r="I172" i="6"/>
  <c r="G172" i="6"/>
  <c r="I171" i="6"/>
  <c r="G171" i="6"/>
  <c r="I170" i="6"/>
  <c r="G170" i="6"/>
  <c r="I169" i="6"/>
  <c r="G169" i="6"/>
  <c r="I168" i="6"/>
  <c r="G168" i="6"/>
  <c r="I167" i="6"/>
  <c r="G167" i="6"/>
  <c r="I166" i="6"/>
  <c r="G166" i="6"/>
  <c r="I165" i="6"/>
  <c r="G165" i="6"/>
  <c r="I164" i="6"/>
  <c r="G164" i="6"/>
  <c r="I163" i="6"/>
  <c r="G163" i="6"/>
  <c r="I162" i="6"/>
  <c r="G162" i="6"/>
  <c r="I161" i="6"/>
  <c r="G161" i="6"/>
  <c r="I160" i="6"/>
  <c r="G160" i="6"/>
  <c r="I159" i="6"/>
  <c r="G159" i="6"/>
  <c r="I158" i="6"/>
  <c r="G158" i="6"/>
  <c r="I157" i="6"/>
  <c r="G157" i="6"/>
  <c r="I156" i="6"/>
  <c r="G156" i="6"/>
  <c r="I155" i="6"/>
  <c r="G155" i="6"/>
  <c r="I154" i="6"/>
  <c r="G154" i="6"/>
  <c r="I153" i="6"/>
  <c r="G153" i="6"/>
  <c r="I152" i="6"/>
  <c r="G152" i="6"/>
  <c r="I151" i="6"/>
  <c r="G151" i="6"/>
  <c r="I150" i="6"/>
  <c r="G150" i="6"/>
  <c r="I149" i="6"/>
  <c r="G149" i="6"/>
  <c r="I148" i="6"/>
  <c r="G148" i="6"/>
  <c r="I147" i="6"/>
  <c r="G147" i="6"/>
  <c r="I146" i="6"/>
  <c r="G146" i="6"/>
  <c r="I145" i="6"/>
  <c r="G145" i="6"/>
  <c r="I144" i="6"/>
  <c r="G144" i="6"/>
  <c r="I143" i="6"/>
  <c r="G143" i="6"/>
  <c r="I142" i="6"/>
  <c r="G142" i="6"/>
  <c r="I141" i="6"/>
  <c r="G141" i="6"/>
  <c r="I140" i="6"/>
  <c r="G140" i="6"/>
  <c r="I139" i="6"/>
  <c r="G139" i="6"/>
  <c r="I138" i="6"/>
  <c r="G138" i="6"/>
  <c r="I137" i="6"/>
  <c r="G137" i="6"/>
  <c r="I136" i="6"/>
  <c r="G136" i="6"/>
  <c r="I135" i="6"/>
  <c r="G135" i="6"/>
  <c r="I134" i="6"/>
  <c r="G134" i="6"/>
  <c r="I133" i="6"/>
  <c r="G133" i="6"/>
  <c r="I132" i="6"/>
  <c r="G132" i="6"/>
  <c r="I131" i="6"/>
  <c r="G131" i="6"/>
  <c r="I130" i="6"/>
  <c r="G130" i="6"/>
  <c r="I129" i="6"/>
  <c r="G129" i="6"/>
  <c r="I128" i="6"/>
  <c r="G128" i="6"/>
  <c r="I127" i="6"/>
  <c r="G127" i="6"/>
  <c r="I126" i="6"/>
  <c r="G126" i="6"/>
  <c r="I125" i="6"/>
  <c r="G125" i="6"/>
  <c r="I124" i="6"/>
  <c r="G124" i="6"/>
  <c r="I123" i="6"/>
  <c r="G123" i="6"/>
  <c r="I122" i="6"/>
  <c r="G122" i="6"/>
  <c r="I121" i="6"/>
  <c r="G121" i="6"/>
  <c r="I120" i="6"/>
  <c r="G120" i="6"/>
  <c r="I119" i="6"/>
  <c r="G119" i="6"/>
  <c r="I118" i="6"/>
  <c r="G118" i="6"/>
  <c r="I117" i="6"/>
  <c r="G117" i="6"/>
  <c r="I116" i="6"/>
  <c r="G116" i="6"/>
  <c r="I115" i="6"/>
  <c r="G115" i="6"/>
  <c r="I114" i="6"/>
  <c r="G114" i="6"/>
  <c r="I113" i="6"/>
  <c r="G113" i="6"/>
  <c r="I112" i="6"/>
  <c r="G112" i="6"/>
  <c r="I111" i="6"/>
  <c r="G111" i="6"/>
  <c r="I110" i="6"/>
  <c r="G110" i="6"/>
  <c r="I109" i="6"/>
  <c r="G109" i="6"/>
  <c r="I108" i="6"/>
  <c r="G108" i="6"/>
  <c r="I107" i="6"/>
  <c r="G107" i="6"/>
  <c r="I106" i="6"/>
  <c r="G106" i="6"/>
  <c r="I105" i="6"/>
  <c r="G105" i="6"/>
  <c r="I104" i="6"/>
  <c r="G104" i="6"/>
  <c r="I103" i="6"/>
  <c r="G103" i="6"/>
  <c r="I102" i="6"/>
  <c r="G102" i="6"/>
  <c r="I101" i="6"/>
  <c r="G101" i="6"/>
  <c r="I100" i="6"/>
  <c r="G100" i="6"/>
  <c r="I99" i="6"/>
  <c r="G99" i="6"/>
  <c r="I98" i="6"/>
  <c r="G98" i="6"/>
  <c r="I97" i="6"/>
  <c r="G97" i="6"/>
  <c r="I96" i="6"/>
  <c r="G96" i="6"/>
  <c r="I95" i="6"/>
  <c r="G95" i="6"/>
  <c r="I94" i="6"/>
  <c r="G94" i="6"/>
  <c r="I93" i="6"/>
  <c r="G93" i="6"/>
  <c r="I92" i="6"/>
  <c r="G92" i="6"/>
  <c r="I91" i="6"/>
  <c r="G91" i="6"/>
  <c r="I90" i="6"/>
  <c r="G90" i="6"/>
  <c r="I89" i="6"/>
  <c r="G89" i="6"/>
  <c r="I88" i="6"/>
  <c r="G88" i="6"/>
  <c r="I87" i="6"/>
  <c r="G87" i="6"/>
  <c r="I86" i="6"/>
  <c r="G86" i="6"/>
  <c r="I85" i="6"/>
  <c r="G85" i="6"/>
  <c r="I84" i="6"/>
  <c r="G84" i="6"/>
  <c r="I83" i="6"/>
  <c r="G83" i="6"/>
  <c r="I82" i="6"/>
  <c r="G82" i="6"/>
  <c r="I81" i="6"/>
  <c r="G81" i="6"/>
  <c r="I80" i="6"/>
  <c r="G80" i="6"/>
  <c r="I79" i="6"/>
  <c r="G79" i="6"/>
  <c r="I78" i="6"/>
  <c r="G78" i="6"/>
  <c r="I77" i="6"/>
  <c r="G77" i="6"/>
  <c r="I76" i="6"/>
  <c r="G76" i="6"/>
  <c r="I75" i="6"/>
  <c r="G75" i="6"/>
  <c r="I74" i="6"/>
  <c r="G74" i="6"/>
  <c r="I73" i="6"/>
  <c r="G73" i="6"/>
  <c r="I72" i="6"/>
  <c r="G72" i="6"/>
  <c r="I71" i="6"/>
  <c r="G71" i="6"/>
  <c r="I70" i="6"/>
  <c r="G70" i="6"/>
  <c r="I69" i="6"/>
  <c r="G69" i="6"/>
  <c r="I68" i="6"/>
  <c r="G68" i="6"/>
  <c r="I67" i="6"/>
  <c r="G67" i="6"/>
  <c r="I66" i="6"/>
  <c r="G66" i="6"/>
  <c r="I65" i="6"/>
  <c r="G65" i="6"/>
  <c r="I64" i="6"/>
  <c r="G64" i="6"/>
  <c r="I63" i="6"/>
  <c r="G63" i="6"/>
  <c r="I62" i="6"/>
  <c r="G62" i="6"/>
  <c r="I61" i="6"/>
  <c r="G61" i="6"/>
  <c r="I60" i="6"/>
  <c r="G60" i="6"/>
  <c r="I59" i="6"/>
  <c r="G59" i="6"/>
  <c r="I58" i="6"/>
  <c r="G58" i="6"/>
  <c r="I57" i="6"/>
  <c r="G57" i="6"/>
  <c r="I56" i="6"/>
  <c r="G56" i="6"/>
  <c r="I55" i="6"/>
  <c r="G55" i="6"/>
  <c r="I54" i="6"/>
  <c r="G54" i="6"/>
  <c r="I53" i="6"/>
  <c r="G53" i="6"/>
  <c r="I52" i="6"/>
  <c r="G52" i="6"/>
  <c r="I51" i="6"/>
  <c r="G51" i="6"/>
  <c r="I50" i="6"/>
  <c r="G50" i="6"/>
  <c r="I49" i="6"/>
  <c r="G49" i="6"/>
  <c r="I48" i="6"/>
  <c r="G48" i="6"/>
  <c r="I47" i="6"/>
  <c r="G47" i="6"/>
  <c r="I46" i="6"/>
  <c r="G46" i="6"/>
  <c r="I45" i="6"/>
  <c r="G45" i="6"/>
  <c r="I44" i="6"/>
  <c r="G44" i="6"/>
  <c r="I43" i="6"/>
  <c r="G43" i="6"/>
  <c r="I42" i="6"/>
  <c r="G42" i="6"/>
  <c r="I41" i="6"/>
  <c r="G41" i="6"/>
  <c r="I40" i="6"/>
  <c r="G40" i="6"/>
  <c r="I39" i="6"/>
  <c r="G39" i="6"/>
  <c r="I38" i="6"/>
  <c r="G38" i="6"/>
  <c r="I37" i="6"/>
  <c r="G37" i="6"/>
  <c r="I36" i="6"/>
  <c r="G36" i="6"/>
  <c r="I35" i="6"/>
  <c r="G35" i="6"/>
  <c r="I34" i="6"/>
  <c r="G34" i="6"/>
  <c r="I33" i="6"/>
  <c r="G33" i="6"/>
  <c r="I32" i="6"/>
  <c r="G32" i="6"/>
  <c r="I31" i="6"/>
  <c r="G31" i="6"/>
  <c r="I30" i="6"/>
  <c r="G30" i="6"/>
  <c r="I29" i="6"/>
  <c r="G29" i="6"/>
  <c r="I28" i="6"/>
  <c r="G28" i="6"/>
  <c r="I27" i="6"/>
  <c r="G27" i="6"/>
  <c r="I26" i="6"/>
  <c r="G26" i="6"/>
  <c r="I25" i="6"/>
  <c r="G25" i="6"/>
  <c r="I24" i="6"/>
  <c r="G24" i="6"/>
  <c r="I23" i="6"/>
  <c r="G23" i="6"/>
  <c r="I22" i="6"/>
  <c r="G22" i="6"/>
  <c r="I21" i="6"/>
  <c r="G21" i="6"/>
  <c r="I20" i="6"/>
  <c r="G20" i="6"/>
  <c r="I19" i="6"/>
  <c r="G19" i="6"/>
  <c r="I18" i="6"/>
  <c r="G18" i="6"/>
  <c r="I17" i="6"/>
  <c r="G17" i="6"/>
  <c r="I16" i="6"/>
  <c r="G16" i="6"/>
  <c r="I15" i="6"/>
  <c r="G15" i="6"/>
  <c r="I14" i="6"/>
  <c r="G14" i="6"/>
  <c r="I13" i="6"/>
  <c r="G13" i="6"/>
  <c r="I12" i="6"/>
  <c r="G12" i="6"/>
  <c r="I11" i="6"/>
  <c r="G11" i="6"/>
  <c r="I10" i="6"/>
  <c r="G10" i="6"/>
  <c r="I9" i="6"/>
  <c r="G9" i="6"/>
  <c r="I8" i="6"/>
  <c r="G8" i="6"/>
  <c r="I7" i="6"/>
  <c r="G7" i="6"/>
  <c r="I6" i="6"/>
  <c r="G6" i="6"/>
  <c r="I5" i="6"/>
  <c r="G5" i="6"/>
  <c r="I4" i="6"/>
  <c r="G4" i="6"/>
  <c r="I3" i="6"/>
  <c r="G3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I2" i="6"/>
  <c r="G2" i="6"/>
  <c r="E227" i="4" l="1"/>
  <c r="F249" i="4"/>
  <c r="E290" i="4"/>
  <c r="F289" i="4"/>
  <c r="E289" i="4"/>
  <c r="F288" i="4"/>
  <c r="E288" i="4"/>
  <c r="F287" i="4"/>
  <c r="E287" i="4"/>
  <c r="F286" i="4"/>
  <c r="E286" i="4"/>
  <c r="F285" i="4"/>
  <c r="E285" i="4"/>
  <c r="F284" i="4"/>
  <c r="E284" i="4"/>
  <c r="F283" i="4"/>
  <c r="E283" i="4"/>
  <c r="F282" i="4"/>
  <c r="E282" i="4"/>
  <c r="F281" i="4"/>
  <c r="E281" i="4"/>
  <c r="F280" i="4"/>
  <c r="E280" i="4"/>
  <c r="F279" i="4"/>
  <c r="E279" i="4"/>
  <c r="F278" i="4"/>
  <c r="E278" i="4"/>
  <c r="F277" i="4"/>
  <c r="E277" i="4"/>
  <c r="F276" i="4"/>
  <c r="E276" i="4"/>
  <c r="F275" i="4"/>
  <c r="E275" i="4"/>
  <c r="F274" i="4"/>
  <c r="E274" i="4"/>
  <c r="F273" i="4"/>
  <c r="E273" i="4"/>
  <c r="F272" i="4"/>
  <c r="E272" i="4"/>
  <c r="F271" i="4"/>
  <c r="E271" i="4"/>
  <c r="F270" i="4"/>
  <c r="E270" i="4"/>
  <c r="F269" i="4"/>
  <c r="E269" i="4"/>
  <c r="F268" i="4"/>
  <c r="E268" i="4"/>
  <c r="F267" i="4"/>
  <c r="E267" i="4"/>
  <c r="F266" i="4"/>
  <c r="E266" i="4"/>
  <c r="F265" i="4"/>
  <c r="E265" i="4"/>
  <c r="F264" i="4"/>
  <c r="E264" i="4"/>
  <c r="F263" i="4"/>
  <c r="E263" i="4"/>
  <c r="F262" i="4"/>
  <c r="E262" i="4"/>
  <c r="F261" i="4"/>
  <c r="E261" i="4"/>
  <c r="F260" i="4"/>
  <c r="E260" i="4"/>
  <c r="F259" i="4"/>
  <c r="E259" i="4"/>
  <c r="F258" i="4"/>
  <c r="E258" i="4"/>
  <c r="F257" i="4"/>
  <c r="E257" i="4"/>
  <c r="F256" i="4"/>
  <c r="E256" i="4"/>
  <c r="F255" i="4"/>
  <c r="E255" i="4"/>
  <c r="F254" i="4"/>
  <c r="E254" i="4"/>
  <c r="F253" i="4"/>
  <c r="E253" i="4"/>
  <c r="F252" i="4"/>
  <c r="E252" i="4"/>
  <c r="F251" i="4"/>
  <c r="E251" i="4"/>
  <c r="F250" i="4"/>
  <c r="E250" i="4"/>
  <c r="E249" i="4"/>
  <c r="F248" i="4"/>
  <c r="E248" i="4"/>
  <c r="F247" i="4"/>
  <c r="E247" i="4"/>
  <c r="F246" i="4"/>
  <c r="E246" i="4"/>
  <c r="F245" i="4"/>
  <c r="E245" i="4"/>
  <c r="F244" i="4"/>
  <c r="E244" i="4"/>
  <c r="F243" i="4"/>
  <c r="E243" i="4"/>
  <c r="F242" i="4"/>
  <c r="E242" i="4"/>
  <c r="F241" i="4"/>
  <c r="E241" i="4"/>
  <c r="F240" i="4"/>
  <c r="E240" i="4"/>
  <c r="F239" i="4"/>
  <c r="E239" i="4"/>
  <c r="F238" i="4"/>
  <c r="E238" i="4"/>
  <c r="F237" i="4"/>
  <c r="E237" i="4"/>
  <c r="F236" i="4"/>
  <c r="E236" i="4"/>
  <c r="F235" i="4"/>
  <c r="E235" i="4"/>
  <c r="F234" i="4"/>
  <c r="E234" i="4"/>
  <c r="F233" i="4"/>
  <c r="E233" i="4"/>
  <c r="F232" i="4"/>
  <c r="E232" i="4"/>
  <c r="F231" i="4"/>
  <c r="E231" i="4"/>
  <c r="F230" i="4"/>
  <c r="E230" i="4"/>
  <c r="F229" i="4"/>
  <c r="E229" i="4"/>
  <c r="F228" i="4"/>
  <c r="E228" i="4"/>
  <c r="F227" i="4"/>
  <c r="F226" i="4"/>
  <c r="E226" i="4"/>
  <c r="F225" i="4"/>
  <c r="E225" i="4"/>
  <c r="F224" i="4"/>
  <c r="E224" i="4"/>
  <c r="F223" i="4"/>
  <c r="E223" i="4"/>
  <c r="F222" i="4"/>
  <c r="E222" i="4"/>
  <c r="F221" i="4"/>
  <c r="E221" i="4"/>
  <c r="F220" i="4"/>
  <c r="E220" i="4"/>
  <c r="F219" i="4"/>
  <c r="E219" i="4"/>
  <c r="F218" i="4"/>
  <c r="E218" i="4"/>
  <c r="F217" i="4"/>
  <c r="E217" i="4"/>
  <c r="F216" i="4"/>
  <c r="E216" i="4"/>
  <c r="F215" i="4"/>
  <c r="E215" i="4"/>
  <c r="F214" i="4"/>
  <c r="E214" i="4"/>
  <c r="F213" i="4"/>
  <c r="E213" i="4"/>
  <c r="F212" i="4"/>
  <c r="E212" i="4"/>
  <c r="F211" i="4"/>
  <c r="E211" i="4"/>
  <c r="F210" i="4"/>
  <c r="E210" i="4"/>
  <c r="F209" i="4"/>
  <c r="E209" i="4"/>
  <c r="F208" i="4"/>
  <c r="E208" i="4"/>
  <c r="F207" i="4"/>
  <c r="E207" i="4"/>
  <c r="F206" i="4"/>
  <c r="E206" i="4"/>
  <c r="F205" i="4"/>
  <c r="E205" i="4"/>
  <c r="F204" i="4"/>
  <c r="E204" i="4"/>
  <c r="F203" i="4"/>
  <c r="E203" i="4"/>
  <c r="F202" i="4"/>
  <c r="E202" i="4"/>
  <c r="F201" i="4"/>
  <c r="E201" i="4"/>
  <c r="F200" i="4"/>
  <c r="E200" i="4"/>
  <c r="F199" i="4"/>
  <c r="E199" i="4"/>
  <c r="F198" i="4"/>
  <c r="E198" i="4"/>
  <c r="F197" i="4"/>
  <c r="E197" i="4"/>
  <c r="F196" i="4"/>
  <c r="E196" i="4"/>
  <c r="F195" i="4"/>
  <c r="E195" i="4"/>
  <c r="F194" i="4"/>
  <c r="E194" i="4"/>
  <c r="F193" i="4"/>
  <c r="E193" i="4"/>
  <c r="F192" i="4"/>
  <c r="E192" i="4"/>
  <c r="F191" i="4"/>
  <c r="E191" i="4"/>
  <c r="F190" i="4"/>
  <c r="E190" i="4"/>
  <c r="F189" i="4"/>
  <c r="E189" i="4"/>
  <c r="F188" i="4"/>
  <c r="E188" i="4"/>
  <c r="F187" i="4"/>
  <c r="E187" i="4"/>
  <c r="F186" i="4"/>
  <c r="E186" i="4"/>
  <c r="F185" i="4"/>
  <c r="E185" i="4"/>
  <c r="F184" i="4"/>
  <c r="E184" i="4"/>
  <c r="F183" i="4"/>
  <c r="E183" i="4"/>
  <c r="F182" i="4"/>
  <c r="E182" i="4"/>
  <c r="F181" i="4"/>
  <c r="E181" i="4"/>
  <c r="F180" i="4"/>
  <c r="E180" i="4"/>
  <c r="F179" i="4"/>
  <c r="E179" i="4"/>
  <c r="F178" i="4"/>
  <c r="E178" i="4"/>
  <c r="F177" i="4"/>
  <c r="E177" i="4"/>
  <c r="F176" i="4"/>
  <c r="E176" i="4"/>
  <c r="F175" i="4"/>
  <c r="E175" i="4"/>
  <c r="F174" i="4"/>
  <c r="E174" i="4"/>
  <c r="F173" i="4"/>
  <c r="E173" i="4"/>
  <c r="F172" i="4"/>
  <c r="E172" i="4"/>
  <c r="F171" i="4"/>
  <c r="E171" i="4"/>
  <c r="F170" i="4"/>
  <c r="E170" i="4"/>
  <c r="F169" i="4"/>
  <c r="E169" i="4"/>
  <c r="F168" i="4"/>
  <c r="E168" i="4"/>
  <c r="F167" i="4"/>
  <c r="E167" i="4"/>
  <c r="F166" i="4"/>
  <c r="E166" i="4"/>
  <c r="F165" i="4"/>
  <c r="E165" i="4"/>
  <c r="F164" i="4"/>
  <c r="E164" i="4"/>
  <c r="F163" i="4"/>
  <c r="E163" i="4"/>
  <c r="F162" i="4"/>
  <c r="E162" i="4"/>
  <c r="F161" i="4"/>
  <c r="E161" i="4"/>
  <c r="F160" i="4"/>
  <c r="E160" i="4"/>
  <c r="F159" i="4"/>
  <c r="E159" i="4"/>
  <c r="F158" i="4"/>
  <c r="E158" i="4"/>
  <c r="F157" i="4"/>
  <c r="E157" i="4"/>
  <c r="F156" i="4"/>
  <c r="E156" i="4"/>
  <c r="F155" i="4"/>
  <c r="E155" i="4"/>
  <c r="F154" i="4"/>
  <c r="E154" i="4"/>
  <c r="F153" i="4"/>
  <c r="E153" i="4"/>
  <c r="F152" i="4"/>
  <c r="E152" i="4"/>
  <c r="F151" i="4"/>
  <c r="E151" i="4"/>
  <c r="F150" i="4"/>
  <c r="E150" i="4"/>
  <c r="F149" i="4"/>
  <c r="E149" i="4"/>
  <c r="F148" i="4"/>
  <c r="E148" i="4"/>
  <c r="F147" i="4"/>
  <c r="E147" i="4"/>
  <c r="F146" i="4"/>
  <c r="E146" i="4"/>
  <c r="F145" i="4"/>
  <c r="E145" i="4"/>
  <c r="F144" i="4"/>
  <c r="E144" i="4"/>
  <c r="F143" i="4"/>
  <c r="E143" i="4"/>
  <c r="F142" i="4"/>
  <c r="E142" i="4"/>
  <c r="F141" i="4"/>
  <c r="E141" i="4"/>
  <c r="F140" i="4"/>
  <c r="E140" i="4"/>
  <c r="F139" i="4"/>
  <c r="E139" i="4"/>
  <c r="F138" i="4"/>
  <c r="E138" i="4"/>
  <c r="F137" i="4"/>
  <c r="E137" i="4"/>
  <c r="F136" i="4"/>
  <c r="E136" i="4"/>
  <c r="F135" i="4"/>
  <c r="E135" i="4"/>
  <c r="F134" i="4"/>
  <c r="E134" i="4"/>
  <c r="F133" i="4"/>
  <c r="E133" i="4"/>
  <c r="F132" i="4"/>
  <c r="E132" i="4"/>
  <c r="F131" i="4"/>
  <c r="E131" i="4"/>
  <c r="F130" i="4"/>
  <c r="E130" i="4"/>
  <c r="F129" i="4"/>
  <c r="E129" i="4"/>
  <c r="F128" i="4"/>
  <c r="E128" i="4"/>
  <c r="F127" i="4"/>
  <c r="E127" i="4"/>
  <c r="F126" i="4"/>
  <c r="E126" i="4"/>
  <c r="F125" i="4"/>
  <c r="E125" i="4"/>
  <c r="F124" i="4"/>
  <c r="E124" i="4"/>
  <c r="F123" i="4"/>
  <c r="E123" i="4"/>
  <c r="F122" i="4"/>
  <c r="E122" i="4"/>
  <c r="F121" i="4"/>
  <c r="E121" i="4"/>
  <c r="F120" i="4"/>
  <c r="E120" i="4"/>
  <c r="F119" i="4"/>
  <c r="E119" i="4"/>
  <c r="F118" i="4"/>
  <c r="E118" i="4"/>
  <c r="F117" i="4"/>
  <c r="E117" i="4"/>
  <c r="F116" i="4"/>
  <c r="E116" i="4"/>
  <c r="F115" i="4"/>
  <c r="E115" i="4"/>
  <c r="F114" i="4"/>
  <c r="E114" i="4"/>
  <c r="F113" i="4"/>
  <c r="E113" i="4"/>
  <c r="F112" i="4"/>
  <c r="E112" i="4"/>
  <c r="F111" i="4"/>
  <c r="E111" i="4"/>
  <c r="F110" i="4"/>
  <c r="E110" i="4"/>
  <c r="F109" i="4"/>
  <c r="E109" i="4"/>
  <c r="F108" i="4"/>
  <c r="E108" i="4"/>
  <c r="F107" i="4"/>
  <c r="E107" i="4"/>
  <c r="F106" i="4"/>
  <c r="E106" i="4"/>
  <c r="F105" i="4"/>
  <c r="E105" i="4"/>
  <c r="F104" i="4"/>
  <c r="E104" i="4"/>
  <c r="F103" i="4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E2" i="4"/>
</calcChain>
</file>

<file path=xl/sharedStrings.xml><?xml version="1.0" encoding="utf-8"?>
<sst xmlns="http://schemas.openxmlformats.org/spreadsheetml/2006/main" count="53" uniqueCount="49">
  <si>
    <t>APITR</t>
  </si>
  <si>
    <t>ACITR</t>
  </si>
  <si>
    <t>DATES</t>
  </si>
  <si>
    <t>m_PI</t>
  </si>
  <si>
    <t>m_CI</t>
  </si>
  <si>
    <t>Average Tax Rate (left axis)</t>
  </si>
  <si>
    <t>T_PI</t>
  </si>
  <si>
    <t>Abbreviation</t>
  </si>
  <si>
    <t>Meaning</t>
  </si>
  <si>
    <t>Definition</t>
  </si>
  <si>
    <t>date</t>
  </si>
  <si>
    <t>Year.Quarter (00=Q1, .25=Q2 etc.)</t>
  </si>
  <si>
    <t>Narratively identified shock to personal income taxes</t>
  </si>
  <si>
    <t>Change in federal personal income tax liabilities divided by lagged taxable personal income</t>
  </si>
  <si>
    <t>T_CI</t>
  </si>
  <si>
    <t>Narratively identified shock to corporate income taxes</t>
  </si>
  <si>
    <t>Change in federal corporate income tax liabilities divided by lagged taxable corporate income</t>
  </si>
  <si>
    <t>Proxy for shocks to personal income taxes</t>
  </si>
  <si>
    <t>T_PI where non-zero observations have been subtracted their mean</t>
  </si>
  <si>
    <t>Proxy for shocks to corporate income taxes</t>
  </si>
  <si>
    <t>T_CI where non-zero observations have been subtracted their mean</t>
  </si>
  <si>
    <t>Average personal income tax rate</t>
  </si>
  <si>
    <t>Federal personal income tax revenues including contributions to government social insurance divided by personal income tax base</t>
  </si>
  <si>
    <t>Average Corporate income tax rate</t>
  </si>
  <si>
    <t>Federal corporate income tax reveneues divided by coporate income tax base</t>
  </si>
  <si>
    <t>correlation between PI and CI up to 2006</t>
  </si>
  <si>
    <t>correlation between PI and CI up to 2019</t>
  </si>
  <si>
    <r>
      <t xml:space="preserve">m_PI
Narratively identified shock to </t>
    </r>
    <r>
      <rPr>
        <b/>
        <u/>
        <sz val="11"/>
        <color theme="1"/>
        <rFont val="Calibri"/>
        <family val="2"/>
        <scheme val="minor"/>
      </rPr>
      <t>personal income taxes</t>
    </r>
    <r>
      <rPr>
        <sz val="11"/>
        <color theme="1"/>
        <rFont val="Calibri"/>
        <family val="2"/>
        <scheme val="minor"/>
      </rPr>
      <t xml:space="preserve">
where non-zero observations have been subtracted their mean ( -0.2482)</t>
    </r>
  </si>
  <si>
    <r>
      <t xml:space="preserve">m_CI
Narratively identified shock to </t>
    </r>
    <r>
      <rPr>
        <b/>
        <u/>
        <sz val="11"/>
        <color theme="1"/>
        <rFont val="Calibri"/>
        <family val="2"/>
        <scheme val="minor"/>
      </rPr>
      <t>corporate income taxes</t>
    </r>
    <r>
      <rPr>
        <sz val="11"/>
        <color theme="1"/>
        <rFont val="Calibri"/>
        <family val="2"/>
        <scheme val="minor"/>
      </rPr>
      <t xml:space="preserve">
where non-zero observations have been subtracted their mean (-0.8734)</t>
    </r>
  </si>
  <si>
    <t>T_PI
original from Mertens and Ravn (2013, AER)</t>
  </si>
  <si>
    <t>T_CI
original from Mertens and Ravn (2013, AER)</t>
  </si>
  <si>
    <t>m_PI
original from Mertens and Ravn (2013, AER)</t>
  </si>
  <si>
    <t>m_CI
original from Mertens and Ravn (2013, AER)</t>
  </si>
  <si>
    <t>Data Explanation</t>
  </si>
  <si>
    <t>See paper and on-line appendix for sources and further details: https://www.bankofcanada.ca/wp-content/uploads/2021/08/swp2021-41.pdf</t>
  </si>
  <si>
    <t>Narrative PI Shocks (T_PI, right axis)</t>
  </si>
  <si>
    <t>Narrative CI Shocks (T_CI, right axis)</t>
  </si>
  <si>
    <t>APITR
original from Mertens and Ravn (2013, AER)</t>
  </si>
  <si>
    <t>ACITR
original from Mertens and Ravn (2013, AER)</t>
  </si>
  <si>
    <r>
      <rPr>
        <b/>
        <sz val="11"/>
        <color theme="1"/>
        <rFont val="Calibri"/>
        <family val="2"/>
        <scheme val="minor"/>
      </rPr>
      <t xml:space="preserve">APITR
</t>
    </r>
    <r>
      <rPr>
        <sz val="11"/>
        <color theme="1"/>
        <rFont val="Calibri"/>
        <family val="2"/>
        <scheme val="minor"/>
      </rPr>
      <t>(personal current taxes + contributions for government social insurance)/personal taxable income</t>
    </r>
  </si>
  <si>
    <r>
      <rPr>
        <b/>
        <sz val="11"/>
        <color theme="1"/>
        <rFont val="Calibri"/>
        <family val="2"/>
        <scheme val="minor"/>
      </rPr>
      <t xml:space="preserve">ACITR
</t>
    </r>
    <r>
      <rPr>
        <sz val="11"/>
        <color theme="1"/>
        <rFont val="Calibri"/>
        <family val="2"/>
        <scheme val="minor"/>
      </rPr>
      <t>taxes on corporate profits/corporate profits</t>
    </r>
  </si>
  <si>
    <r>
      <rPr>
        <b/>
        <sz val="11"/>
        <color theme="1"/>
        <rFont val="Calibri"/>
        <family val="2"/>
        <scheme val="minor"/>
      </rPr>
      <t>Personal taxable income</t>
    </r>
    <r>
      <rPr>
        <sz val="11"/>
        <color theme="1"/>
        <rFont val="Calibri"/>
        <family val="2"/>
        <scheme val="minor"/>
      </rPr>
      <t xml:space="preserve">
defined as personal income - government transfers + contributions for government social insurance</t>
    </r>
  </si>
  <si>
    <r>
      <rPr>
        <b/>
        <sz val="11"/>
        <color theme="1"/>
        <rFont val="Calibri"/>
        <family val="2"/>
        <scheme val="minor"/>
      </rPr>
      <t>Personal Income</t>
    </r>
    <r>
      <rPr>
        <sz val="11"/>
        <color theme="1"/>
        <rFont val="Calibri"/>
        <family val="2"/>
        <scheme val="minor"/>
      </rPr>
      <t xml:space="preserve">
Billions of Dollars, Quarterly, Seasonally Adjusted Annual Rate
https://fred.stlouisfed.org/series/PINCOME</t>
    </r>
  </si>
  <si>
    <r>
      <rPr>
        <b/>
        <sz val="11"/>
        <color theme="1"/>
        <rFont val="Calibri"/>
        <family val="2"/>
        <scheme val="minor"/>
      </rPr>
      <t xml:space="preserve">Transfer payments
</t>
    </r>
    <r>
      <rPr>
        <sz val="11"/>
        <color theme="1"/>
        <rFont val="Calibri"/>
        <family val="2"/>
        <scheme val="minor"/>
      </rPr>
      <t>Government social benefits: to persons, Billions of Dollars, Quarterly, Seasonally Adjusted Annual Rate; NIPA table 3.2 line 28</t>
    </r>
  </si>
  <si>
    <r>
      <t xml:space="preserve">Personal current taxes
</t>
    </r>
    <r>
      <rPr>
        <sz val="11"/>
        <color theme="1"/>
        <rFont val="Calibri"/>
        <family val="2"/>
        <scheme val="minor"/>
      </rPr>
      <t>NIPA table 3.2 line 3</t>
    </r>
  </si>
  <si>
    <r>
      <rPr>
        <b/>
        <sz val="11"/>
        <color theme="1"/>
        <rFont val="Calibri"/>
        <family val="2"/>
        <scheme val="minor"/>
      </rPr>
      <t>Contributions to social insurance</t>
    </r>
    <r>
      <rPr>
        <sz val="11"/>
        <color theme="1"/>
        <rFont val="Calibri"/>
        <family val="2"/>
        <scheme val="minor"/>
      </rPr>
      <t xml:space="preserve">
from persons, Billions of dollars, seasonally adjusted at annual rates; 
NIPA table 3.2 line 11</t>
    </r>
  </si>
  <si>
    <r>
      <t xml:space="preserve">Taxes on Corporate Income
</t>
    </r>
    <r>
      <rPr>
        <sz val="11"/>
        <color theme="1"/>
        <rFont val="Calibri"/>
        <family val="2"/>
        <scheme val="minor"/>
      </rPr>
      <t>NIPA table 3.2 line 8</t>
    </r>
  </si>
  <si>
    <r>
      <rPr>
        <b/>
        <sz val="11"/>
        <color theme="1"/>
        <rFont val="Calibri"/>
        <family val="2"/>
        <scheme val="minor"/>
      </rPr>
      <t xml:space="preserve">Gross Domestic Product
</t>
    </r>
    <r>
      <rPr>
        <sz val="11"/>
        <color theme="1"/>
        <rFont val="Calibri"/>
        <family val="2"/>
        <scheme val="minor"/>
      </rPr>
      <t>Billions of Dollars, Quarterly, Seasonally Adjusted Annual Rate
https://fred.stlouisfed.org/series/GDP</t>
    </r>
  </si>
  <si>
    <r>
      <rPr>
        <b/>
        <sz val="11"/>
        <color theme="1"/>
        <rFont val="Calibri"/>
        <family val="2"/>
        <scheme val="minor"/>
      </rPr>
      <t>Corporate profits</t>
    </r>
    <r>
      <rPr>
        <sz val="11"/>
        <color theme="1"/>
        <rFont val="Calibri"/>
        <family val="2"/>
        <scheme val="minor"/>
      </rPr>
      <t xml:space="preserve"> before tax (without IVA and CCAdj), Billions of Dollars, Quarterly, Seasonally Adjusted Annual Rate
https://fred.stlouisfed.org/series/A053RC1Q027SBEA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</si>
</sst>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yyyy\-mm\-dd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165" fontId="0" fillId="0" borderId="1" xfId="0" applyNumberFormat="1" applyBorder="1"/>
    <xf numFmtId="164" fontId="0" fillId="2" borderId="1" xfId="0" applyNumberFormat="1" applyFill="1" applyBorder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1" fillId="0" borderId="0" xfId="0" applyFont="1"/>
    <xf numFmtId="166" fontId="0" fillId="0" borderId="0" xfId="0" applyNumberFormat="1" applyFill="1"/>
    <xf numFmtId="166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6" fontId="0" fillId="2" borderId="1" xfId="0" applyNumberFormat="1" applyFill="1" applyBorder="1"/>
    <xf numFmtId="164" fontId="4" fillId="0" borderId="1" xfId="1" applyNumberFormat="1" applyFont="1" applyBorder="1"/>
    <xf numFmtId="164" fontId="0" fillId="0" borderId="1" xfId="0" applyNumberFormat="1" applyBorder="1"/>
    <xf numFmtId="0" fontId="4" fillId="0" borderId="1" xfId="0" applyFont="1" applyBorder="1" applyAlignment="1">
      <alignment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/>
    <xf numFmtId="166" fontId="0" fillId="0" borderId="0" xfId="0" applyNumberFormat="1" applyAlignment="1"/>
    <xf numFmtId="166" fontId="0" fillId="2" borderId="2" xfId="0" applyNumberFormat="1" applyFill="1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chartsheet" Target="chart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Corporate Income Tax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'Narrative Shocks (Quarterly)'!$I$1</c:f>
              <c:strCache>
                <c:ptCount val="1"/>
                <c:pt idx="0">
                  <c:v>Average Tax Rate (left axis)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'Narrative Shocks (Quarterly)'!$A$2:$A$278</c:f>
              <c:numCache>
                <c:formatCode>General</c:formatCode>
                <c:ptCount val="277"/>
                <c:pt idx="0">
                  <c:v>1950</c:v>
                </c:pt>
                <c:pt idx="1">
                  <c:v>1950.25</c:v>
                </c:pt>
                <c:pt idx="2">
                  <c:v>1950.5</c:v>
                </c:pt>
                <c:pt idx="3">
                  <c:v>1950.75</c:v>
                </c:pt>
                <c:pt idx="4">
                  <c:v>1951</c:v>
                </c:pt>
                <c:pt idx="5">
                  <c:v>1951.25</c:v>
                </c:pt>
                <c:pt idx="6">
                  <c:v>1951.5</c:v>
                </c:pt>
                <c:pt idx="7">
                  <c:v>1951.75</c:v>
                </c:pt>
                <c:pt idx="8">
                  <c:v>1952</c:v>
                </c:pt>
                <c:pt idx="9">
                  <c:v>1952.25</c:v>
                </c:pt>
                <c:pt idx="10">
                  <c:v>1952.5</c:v>
                </c:pt>
                <c:pt idx="11">
                  <c:v>1952.75</c:v>
                </c:pt>
                <c:pt idx="12">
                  <c:v>1953</c:v>
                </c:pt>
                <c:pt idx="13">
                  <c:v>1953.25</c:v>
                </c:pt>
                <c:pt idx="14">
                  <c:v>1953.5</c:v>
                </c:pt>
                <c:pt idx="15">
                  <c:v>1953.75</c:v>
                </c:pt>
                <c:pt idx="16">
                  <c:v>1954</c:v>
                </c:pt>
                <c:pt idx="17">
                  <c:v>1954.25</c:v>
                </c:pt>
                <c:pt idx="18">
                  <c:v>1954.5</c:v>
                </c:pt>
                <c:pt idx="19">
                  <c:v>1954.75</c:v>
                </c:pt>
                <c:pt idx="20">
                  <c:v>1955</c:v>
                </c:pt>
                <c:pt idx="21">
                  <c:v>1955.25</c:v>
                </c:pt>
                <c:pt idx="22">
                  <c:v>1955.5</c:v>
                </c:pt>
                <c:pt idx="23">
                  <c:v>1955.75</c:v>
                </c:pt>
                <c:pt idx="24">
                  <c:v>1956</c:v>
                </c:pt>
                <c:pt idx="25">
                  <c:v>1956.25</c:v>
                </c:pt>
                <c:pt idx="26">
                  <c:v>1956.5</c:v>
                </c:pt>
                <c:pt idx="27">
                  <c:v>1956.75</c:v>
                </c:pt>
                <c:pt idx="28">
                  <c:v>1957</c:v>
                </c:pt>
                <c:pt idx="29">
                  <c:v>1957.25</c:v>
                </c:pt>
                <c:pt idx="30">
                  <c:v>1957.5</c:v>
                </c:pt>
                <c:pt idx="31">
                  <c:v>1957.75</c:v>
                </c:pt>
                <c:pt idx="32">
                  <c:v>1958</c:v>
                </c:pt>
                <c:pt idx="33">
                  <c:v>1958.25</c:v>
                </c:pt>
                <c:pt idx="34">
                  <c:v>1958.5</c:v>
                </c:pt>
                <c:pt idx="35">
                  <c:v>1958.75</c:v>
                </c:pt>
                <c:pt idx="36">
                  <c:v>1959</c:v>
                </c:pt>
                <c:pt idx="37">
                  <c:v>1959.25</c:v>
                </c:pt>
                <c:pt idx="38">
                  <c:v>1959.5</c:v>
                </c:pt>
                <c:pt idx="39">
                  <c:v>1959.75</c:v>
                </c:pt>
                <c:pt idx="40">
                  <c:v>1960</c:v>
                </c:pt>
                <c:pt idx="41">
                  <c:v>1960.25</c:v>
                </c:pt>
                <c:pt idx="42">
                  <c:v>1960.5</c:v>
                </c:pt>
                <c:pt idx="43">
                  <c:v>1960.75</c:v>
                </c:pt>
                <c:pt idx="44">
                  <c:v>1961</c:v>
                </c:pt>
                <c:pt idx="45">
                  <c:v>1961.25</c:v>
                </c:pt>
                <c:pt idx="46">
                  <c:v>1961.5</c:v>
                </c:pt>
                <c:pt idx="47">
                  <c:v>1961.75</c:v>
                </c:pt>
                <c:pt idx="48">
                  <c:v>1962</c:v>
                </c:pt>
                <c:pt idx="49">
                  <c:v>1962.25</c:v>
                </c:pt>
                <c:pt idx="50">
                  <c:v>1962.5</c:v>
                </c:pt>
                <c:pt idx="51">
                  <c:v>1962.75</c:v>
                </c:pt>
                <c:pt idx="52">
                  <c:v>1963</c:v>
                </c:pt>
                <c:pt idx="53">
                  <c:v>1963.25</c:v>
                </c:pt>
                <c:pt idx="54">
                  <c:v>1963.5</c:v>
                </c:pt>
                <c:pt idx="55">
                  <c:v>1963.75</c:v>
                </c:pt>
                <c:pt idx="56">
                  <c:v>1964</c:v>
                </c:pt>
                <c:pt idx="57">
                  <c:v>1964.25</c:v>
                </c:pt>
                <c:pt idx="58">
                  <c:v>1964.5</c:v>
                </c:pt>
                <c:pt idx="59">
                  <c:v>1964.75</c:v>
                </c:pt>
                <c:pt idx="60">
                  <c:v>1965</c:v>
                </c:pt>
                <c:pt idx="61">
                  <c:v>1965.25</c:v>
                </c:pt>
                <c:pt idx="62">
                  <c:v>1965.5</c:v>
                </c:pt>
                <c:pt idx="63">
                  <c:v>1965.75</c:v>
                </c:pt>
                <c:pt idx="64">
                  <c:v>1966</c:v>
                </c:pt>
                <c:pt idx="65">
                  <c:v>1966.25</c:v>
                </c:pt>
                <c:pt idx="66">
                  <c:v>1966.5</c:v>
                </c:pt>
                <c:pt idx="67">
                  <c:v>1966.75</c:v>
                </c:pt>
                <c:pt idx="68">
                  <c:v>1967</c:v>
                </c:pt>
                <c:pt idx="69">
                  <c:v>1967.25</c:v>
                </c:pt>
                <c:pt idx="70">
                  <c:v>1967.5</c:v>
                </c:pt>
                <c:pt idx="71">
                  <c:v>1967.75</c:v>
                </c:pt>
                <c:pt idx="72">
                  <c:v>1968</c:v>
                </c:pt>
                <c:pt idx="73">
                  <c:v>1968.25</c:v>
                </c:pt>
                <c:pt idx="74">
                  <c:v>1968.5</c:v>
                </c:pt>
                <c:pt idx="75">
                  <c:v>1968.75</c:v>
                </c:pt>
                <c:pt idx="76">
                  <c:v>1969</c:v>
                </c:pt>
                <c:pt idx="77">
                  <c:v>1969.25</c:v>
                </c:pt>
                <c:pt idx="78">
                  <c:v>1969.5</c:v>
                </c:pt>
                <c:pt idx="79">
                  <c:v>1969.75</c:v>
                </c:pt>
                <c:pt idx="80">
                  <c:v>1970</c:v>
                </c:pt>
                <c:pt idx="81">
                  <c:v>1970.25</c:v>
                </c:pt>
                <c:pt idx="82">
                  <c:v>1970.5</c:v>
                </c:pt>
                <c:pt idx="83">
                  <c:v>1970.75</c:v>
                </c:pt>
                <c:pt idx="84">
                  <c:v>1971</c:v>
                </c:pt>
                <c:pt idx="85">
                  <c:v>1971.25</c:v>
                </c:pt>
                <c:pt idx="86">
                  <c:v>1971.5</c:v>
                </c:pt>
                <c:pt idx="87">
                  <c:v>1971.75</c:v>
                </c:pt>
                <c:pt idx="88">
                  <c:v>1972</c:v>
                </c:pt>
                <c:pt idx="89">
                  <c:v>1972.25</c:v>
                </c:pt>
                <c:pt idx="90">
                  <c:v>1972.5</c:v>
                </c:pt>
                <c:pt idx="91">
                  <c:v>1972.75</c:v>
                </c:pt>
                <c:pt idx="92">
                  <c:v>1973</c:v>
                </c:pt>
                <c:pt idx="93">
                  <c:v>1973.25</c:v>
                </c:pt>
                <c:pt idx="94">
                  <c:v>1973.5</c:v>
                </c:pt>
                <c:pt idx="95">
                  <c:v>1973.75</c:v>
                </c:pt>
                <c:pt idx="96">
                  <c:v>1974</c:v>
                </c:pt>
                <c:pt idx="97">
                  <c:v>1974.25</c:v>
                </c:pt>
                <c:pt idx="98">
                  <c:v>1974.5</c:v>
                </c:pt>
                <c:pt idx="99">
                  <c:v>1974.75</c:v>
                </c:pt>
                <c:pt idx="100">
                  <c:v>1975</c:v>
                </c:pt>
                <c:pt idx="101">
                  <c:v>1975.25</c:v>
                </c:pt>
                <c:pt idx="102">
                  <c:v>1975.5</c:v>
                </c:pt>
                <c:pt idx="103">
                  <c:v>1975.75</c:v>
                </c:pt>
                <c:pt idx="104">
                  <c:v>1976</c:v>
                </c:pt>
                <c:pt idx="105">
                  <c:v>1976.25</c:v>
                </c:pt>
                <c:pt idx="106">
                  <c:v>1976.5</c:v>
                </c:pt>
                <c:pt idx="107">
                  <c:v>1976.75</c:v>
                </c:pt>
                <c:pt idx="108">
                  <c:v>1977</c:v>
                </c:pt>
                <c:pt idx="109">
                  <c:v>1977.25</c:v>
                </c:pt>
                <c:pt idx="110">
                  <c:v>1977.5</c:v>
                </c:pt>
                <c:pt idx="111">
                  <c:v>1977.75</c:v>
                </c:pt>
                <c:pt idx="112">
                  <c:v>1978</c:v>
                </c:pt>
                <c:pt idx="113">
                  <c:v>1978.25</c:v>
                </c:pt>
                <c:pt idx="114">
                  <c:v>1978.5</c:v>
                </c:pt>
                <c:pt idx="115">
                  <c:v>1978.75</c:v>
                </c:pt>
                <c:pt idx="116">
                  <c:v>1979</c:v>
                </c:pt>
                <c:pt idx="117">
                  <c:v>1979.25</c:v>
                </c:pt>
                <c:pt idx="118">
                  <c:v>1979.5</c:v>
                </c:pt>
                <c:pt idx="119">
                  <c:v>1979.75</c:v>
                </c:pt>
                <c:pt idx="120">
                  <c:v>1980</c:v>
                </c:pt>
                <c:pt idx="121">
                  <c:v>1980.25</c:v>
                </c:pt>
                <c:pt idx="122">
                  <c:v>1980.5</c:v>
                </c:pt>
                <c:pt idx="123">
                  <c:v>1980.75</c:v>
                </c:pt>
                <c:pt idx="124">
                  <c:v>1981</c:v>
                </c:pt>
                <c:pt idx="125">
                  <c:v>1981.25</c:v>
                </c:pt>
                <c:pt idx="126">
                  <c:v>1981.5</c:v>
                </c:pt>
                <c:pt idx="127">
                  <c:v>1981.75</c:v>
                </c:pt>
                <c:pt idx="128">
                  <c:v>1982</c:v>
                </c:pt>
                <c:pt idx="129">
                  <c:v>1982.25</c:v>
                </c:pt>
                <c:pt idx="130">
                  <c:v>1982.5</c:v>
                </c:pt>
                <c:pt idx="131">
                  <c:v>1982.75</c:v>
                </c:pt>
                <c:pt idx="132">
                  <c:v>1983</c:v>
                </c:pt>
                <c:pt idx="133">
                  <c:v>1983.25</c:v>
                </c:pt>
                <c:pt idx="134">
                  <c:v>1983.5</c:v>
                </c:pt>
                <c:pt idx="135">
                  <c:v>1983.75</c:v>
                </c:pt>
                <c:pt idx="136">
                  <c:v>1984</c:v>
                </c:pt>
                <c:pt idx="137">
                  <c:v>1984.25</c:v>
                </c:pt>
                <c:pt idx="138">
                  <c:v>1984.5</c:v>
                </c:pt>
                <c:pt idx="139">
                  <c:v>1984.75</c:v>
                </c:pt>
                <c:pt idx="140">
                  <c:v>1985</c:v>
                </c:pt>
                <c:pt idx="141">
                  <c:v>1985.25</c:v>
                </c:pt>
                <c:pt idx="142">
                  <c:v>1985.5</c:v>
                </c:pt>
                <c:pt idx="143">
                  <c:v>1985.75</c:v>
                </c:pt>
                <c:pt idx="144">
                  <c:v>1986</c:v>
                </c:pt>
                <c:pt idx="145">
                  <c:v>1986.25</c:v>
                </c:pt>
                <c:pt idx="146">
                  <c:v>1986.5</c:v>
                </c:pt>
                <c:pt idx="147">
                  <c:v>1986.75</c:v>
                </c:pt>
                <c:pt idx="148">
                  <c:v>1987</c:v>
                </c:pt>
                <c:pt idx="149">
                  <c:v>1987.25</c:v>
                </c:pt>
                <c:pt idx="150">
                  <c:v>1987.5</c:v>
                </c:pt>
                <c:pt idx="151">
                  <c:v>1987.75</c:v>
                </c:pt>
                <c:pt idx="152">
                  <c:v>1988</c:v>
                </c:pt>
                <c:pt idx="153">
                  <c:v>1988.25</c:v>
                </c:pt>
                <c:pt idx="154">
                  <c:v>1988.5</c:v>
                </c:pt>
                <c:pt idx="155">
                  <c:v>1988.75</c:v>
                </c:pt>
                <c:pt idx="156">
                  <c:v>1989</c:v>
                </c:pt>
                <c:pt idx="157">
                  <c:v>1989.25</c:v>
                </c:pt>
                <c:pt idx="158">
                  <c:v>1989.5</c:v>
                </c:pt>
                <c:pt idx="159">
                  <c:v>1989.75</c:v>
                </c:pt>
                <c:pt idx="160">
                  <c:v>1990</c:v>
                </c:pt>
                <c:pt idx="161">
                  <c:v>1990.25</c:v>
                </c:pt>
                <c:pt idx="162">
                  <c:v>1990.5</c:v>
                </c:pt>
                <c:pt idx="163">
                  <c:v>1990.75</c:v>
                </c:pt>
                <c:pt idx="164">
                  <c:v>1991</c:v>
                </c:pt>
                <c:pt idx="165">
                  <c:v>1991.25</c:v>
                </c:pt>
                <c:pt idx="166">
                  <c:v>1991.5</c:v>
                </c:pt>
                <c:pt idx="167">
                  <c:v>1991.75</c:v>
                </c:pt>
                <c:pt idx="168">
                  <c:v>1992</c:v>
                </c:pt>
                <c:pt idx="169">
                  <c:v>1992.25</c:v>
                </c:pt>
                <c:pt idx="170">
                  <c:v>1992.5</c:v>
                </c:pt>
                <c:pt idx="171">
                  <c:v>1992.75</c:v>
                </c:pt>
                <c:pt idx="172">
                  <c:v>1993</c:v>
                </c:pt>
                <c:pt idx="173">
                  <c:v>1993.25</c:v>
                </c:pt>
                <c:pt idx="174">
                  <c:v>1993.5</c:v>
                </c:pt>
                <c:pt idx="175">
                  <c:v>1993.75</c:v>
                </c:pt>
                <c:pt idx="176">
                  <c:v>1994</c:v>
                </c:pt>
                <c:pt idx="177">
                  <c:v>1994.25</c:v>
                </c:pt>
                <c:pt idx="178">
                  <c:v>1994.5</c:v>
                </c:pt>
                <c:pt idx="179">
                  <c:v>1994.75</c:v>
                </c:pt>
                <c:pt idx="180">
                  <c:v>1995</c:v>
                </c:pt>
                <c:pt idx="181">
                  <c:v>1995.25</c:v>
                </c:pt>
                <c:pt idx="182">
                  <c:v>1995.5</c:v>
                </c:pt>
                <c:pt idx="183">
                  <c:v>1995.75</c:v>
                </c:pt>
                <c:pt idx="184">
                  <c:v>1996</c:v>
                </c:pt>
                <c:pt idx="185">
                  <c:v>1996.25</c:v>
                </c:pt>
                <c:pt idx="186">
                  <c:v>1996.5</c:v>
                </c:pt>
                <c:pt idx="187">
                  <c:v>1996.75</c:v>
                </c:pt>
                <c:pt idx="188">
                  <c:v>1997</c:v>
                </c:pt>
                <c:pt idx="189">
                  <c:v>1997.25</c:v>
                </c:pt>
                <c:pt idx="190">
                  <c:v>1997.5</c:v>
                </c:pt>
                <c:pt idx="191">
                  <c:v>1997.75</c:v>
                </c:pt>
                <c:pt idx="192">
                  <c:v>1998</c:v>
                </c:pt>
                <c:pt idx="193">
                  <c:v>1998.25</c:v>
                </c:pt>
                <c:pt idx="194">
                  <c:v>1998.5</c:v>
                </c:pt>
                <c:pt idx="195">
                  <c:v>1998.75</c:v>
                </c:pt>
                <c:pt idx="196">
                  <c:v>1999</c:v>
                </c:pt>
                <c:pt idx="197">
                  <c:v>1999.25</c:v>
                </c:pt>
                <c:pt idx="198">
                  <c:v>1999.5</c:v>
                </c:pt>
                <c:pt idx="199">
                  <c:v>1999.75</c:v>
                </c:pt>
                <c:pt idx="200">
                  <c:v>2000</c:v>
                </c:pt>
                <c:pt idx="201">
                  <c:v>2000.25</c:v>
                </c:pt>
                <c:pt idx="202">
                  <c:v>2000.5</c:v>
                </c:pt>
                <c:pt idx="203">
                  <c:v>2000.75</c:v>
                </c:pt>
                <c:pt idx="204">
                  <c:v>2001</c:v>
                </c:pt>
                <c:pt idx="205">
                  <c:v>2001.25</c:v>
                </c:pt>
                <c:pt idx="206">
                  <c:v>2001.5</c:v>
                </c:pt>
                <c:pt idx="207">
                  <c:v>2001.75</c:v>
                </c:pt>
                <c:pt idx="208">
                  <c:v>2002</c:v>
                </c:pt>
                <c:pt idx="209">
                  <c:v>2002.25</c:v>
                </c:pt>
                <c:pt idx="210">
                  <c:v>2002.5</c:v>
                </c:pt>
                <c:pt idx="211">
                  <c:v>2002.75</c:v>
                </c:pt>
                <c:pt idx="212">
                  <c:v>2003</c:v>
                </c:pt>
                <c:pt idx="213">
                  <c:v>2003.25</c:v>
                </c:pt>
                <c:pt idx="214">
                  <c:v>2003.5</c:v>
                </c:pt>
                <c:pt idx="215">
                  <c:v>2003.75</c:v>
                </c:pt>
                <c:pt idx="216">
                  <c:v>2004</c:v>
                </c:pt>
                <c:pt idx="217">
                  <c:v>2004.25</c:v>
                </c:pt>
                <c:pt idx="218">
                  <c:v>2004.5</c:v>
                </c:pt>
                <c:pt idx="219">
                  <c:v>2004.75</c:v>
                </c:pt>
                <c:pt idx="220">
                  <c:v>2005</c:v>
                </c:pt>
                <c:pt idx="221">
                  <c:v>2005.25</c:v>
                </c:pt>
                <c:pt idx="222">
                  <c:v>2005.5</c:v>
                </c:pt>
                <c:pt idx="223">
                  <c:v>2005.75</c:v>
                </c:pt>
                <c:pt idx="224">
                  <c:v>2006</c:v>
                </c:pt>
                <c:pt idx="225">
                  <c:v>2006.25</c:v>
                </c:pt>
                <c:pt idx="226">
                  <c:v>2006.5</c:v>
                </c:pt>
                <c:pt idx="227">
                  <c:v>2006.75</c:v>
                </c:pt>
                <c:pt idx="228">
                  <c:v>2007</c:v>
                </c:pt>
                <c:pt idx="229">
                  <c:v>2007.25</c:v>
                </c:pt>
                <c:pt idx="230">
                  <c:v>2007.5</c:v>
                </c:pt>
                <c:pt idx="231">
                  <c:v>2007.75</c:v>
                </c:pt>
                <c:pt idx="232">
                  <c:v>2008</c:v>
                </c:pt>
                <c:pt idx="233">
                  <c:v>2008.25</c:v>
                </c:pt>
                <c:pt idx="234">
                  <c:v>2008.5</c:v>
                </c:pt>
                <c:pt idx="235">
                  <c:v>2008.75</c:v>
                </c:pt>
                <c:pt idx="236">
                  <c:v>2009</c:v>
                </c:pt>
                <c:pt idx="237">
                  <c:v>2009.25</c:v>
                </c:pt>
                <c:pt idx="238">
                  <c:v>2009.5</c:v>
                </c:pt>
                <c:pt idx="239">
                  <c:v>2009.75</c:v>
                </c:pt>
                <c:pt idx="240">
                  <c:v>2010</c:v>
                </c:pt>
                <c:pt idx="241">
                  <c:v>2010.25</c:v>
                </c:pt>
                <c:pt idx="242">
                  <c:v>2010.5</c:v>
                </c:pt>
                <c:pt idx="243">
                  <c:v>2010.75</c:v>
                </c:pt>
                <c:pt idx="244">
                  <c:v>2011</c:v>
                </c:pt>
                <c:pt idx="245">
                  <c:v>2011.25</c:v>
                </c:pt>
                <c:pt idx="246">
                  <c:v>2011.5</c:v>
                </c:pt>
                <c:pt idx="247">
                  <c:v>2011.75</c:v>
                </c:pt>
                <c:pt idx="248">
                  <c:v>2012</c:v>
                </c:pt>
                <c:pt idx="249">
                  <c:v>2012.25</c:v>
                </c:pt>
                <c:pt idx="250">
                  <c:v>2012.5</c:v>
                </c:pt>
                <c:pt idx="251">
                  <c:v>2012.75</c:v>
                </c:pt>
                <c:pt idx="252">
                  <c:v>2013</c:v>
                </c:pt>
                <c:pt idx="253">
                  <c:v>2013.25</c:v>
                </c:pt>
                <c:pt idx="254">
                  <c:v>2013.5</c:v>
                </c:pt>
                <c:pt idx="255">
                  <c:v>2013.75</c:v>
                </c:pt>
                <c:pt idx="256">
                  <c:v>2014</c:v>
                </c:pt>
                <c:pt idx="257">
                  <c:v>2014.25</c:v>
                </c:pt>
                <c:pt idx="258">
                  <c:v>2014.5</c:v>
                </c:pt>
                <c:pt idx="259">
                  <c:v>2014.75</c:v>
                </c:pt>
                <c:pt idx="260">
                  <c:v>2015</c:v>
                </c:pt>
                <c:pt idx="261">
                  <c:v>2015.25</c:v>
                </c:pt>
                <c:pt idx="262">
                  <c:v>2015.5</c:v>
                </c:pt>
                <c:pt idx="263">
                  <c:v>2015.75</c:v>
                </c:pt>
                <c:pt idx="264">
                  <c:v>2016</c:v>
                </c:pt>
                <c:pt idx="265">
                  <c:v>2016.25</c:v>
                </c:pt>
                <c:pt idx="266">
                  <c:v>2016.5</c:v>
                </c:pt>
                <c:pt idx="267">
                  <c:v>2016.75</c:v>
                </c:pt>
                <c:pt idx="268">
                  <c:v>2017</c:v>
                </c:pt>
                <c:pt idx="269">
                  <c:v>2017.25</c:v>
                </c:pt>
                <c:pt idx="270">
                  <c:v>2017.5</c:v>
                </c:pt>
                <c:pt idx="271">
                  <c:v>2017.75</c:v>
                </c:pt>
                <c:pt idx="272">
                  <c:v>2018</c:v>
                </c:pt>
                <c:pt idx="273">
                  <c:v>2018.25</c:v>
                </c:pt>
                <c:pt idx="274">
                  <c:v>2018.5</c:v>
                </c:pt>
                <c:pt idx="275">
                  <c:v>2018.75</c:v>
                </c:pt>
                <c:pt idx="276">
                  <c:v>2019</c:v>
                </c:pt>
              </c:numCache>
            </c:numRef>
          </c:xVal>
          <c:yVal>
            <c:numRef>
              <c:f>'Narrative Shocks (Quarterly)'!$I$2:$I$278</c:f>
              <c:numCache>
                <c:formatCode>0.0000</c:formatCode>
                <c:ptCount val="277"/>
                <c:pt idx="0">
                  <c:v>32.498655351700229</c:v>
                </c:pt>
                <c:pt idx="1">
                  <c:v>32.512315270935957</c:v>
                </c:pt>
                <c:pt idx="2">
                  <c:v>32.421375607261574</c:v>
                </c:pt>
                <c:pt idx="3">
                  <c:v>32.353544530082353</c:v>
                </c:pt>
                <c:pt idx="4">
                  <c:v>31.756511035891126</c:v>
                </c:pt>
                <c:pt idx="5">
                  <c:v>31.807177631753969</c:v>
                </c:pt>
                <c:pt idx="6">
                  <c:v>31.732460293839114</c:v>
                </c:pt>
                <c:pt idx="7">
                  <c:v>31.630824372759854</c:v>
                </c:pt>
                <c:pt idx="8">
                  <c:v>31.304775669608535</c:v>
                </c:pt>
                <c:pt idx="9">
                  <c:v>31.172452251498679</c:v>
                </c:pt>
                <c:pt idx="10">
                  <c:v>31.379403065340149</c:v>
                </c:pt>
                <c:pt idx="11">
                  <c:v>31.36449238144154</c:v>
                </c:pt>
                <c:pt idx="12">
                  <c:v>38.402485288406965</c:v>
                </c:pt>
                <c:pt idx="13">
                  <c:v>38.594294015980765</c:v>
                </c:pt>
                <c:pt idx="14">
                  <c:v>38.894043421785121</c:v>
                </c:pt>
                <c:pt idx="15">
                  <c:v>38.901937205238532</c:v>
                </c:pt>
                <c:pt idx="16">
                  <c:v>47.754471017120608</c:v>
                </c:pt>
                <c:pt idx="17">
                  <c:v>47.388603592492096</c:v>
                </c:pt>
                <c:pt idx="18">
                  <c:v>46.967983081689873</c:v>
                </c:pt>
                <c:pt idx="19">
                  <c:v>46.576091912099933</c:v>
                </c:pt>
                <c:pt idx="20">
                  <c:v>44.924260639576815</c:v>
                </c:pt>
                <c:pt idx="21">
                  <c:v>44.30887135402223</c:v>
                </c:pt>
                <c:pt idx="22">
                  <c:v>43.901949972429691</c:v>
                </c:pt>
                <c:pt idx="23">
                  <c:v>44.000727735831887</c:v>
                </c:pt>
                <c:pt idx="24">
                  <c:v>44.494803129017498</c:v>
                </c:pt>
                <c:pt idx="25">
                  <c:v>44.549680670808534</c:v>
                </c:pt>
                <c:pt idx="26">
                  <c:v>44.43951460833685</c:v>
                </c:pt>
                <c:pt idx="27">
                  <c:v>43.775111685538477</c:v>
                </c:pt>
                <c:pt idx="28">
                  <c:v>40.44293642652358</c:v>
                </c:pt>
                <c:pt idx="29">
                  <c:v>40.550829053933221</c:v>
                </c:pt>
                <c:pt idx="30">
                  <c:v>40.681889422033613</c:v>
                </c:pt>
                <c:pt idx="31">
                  <c:v>40.818159365948944</c:v>
                </c:pt>
                <c:pt idx="32">
                  <c:v>40.623554259277881</c:v>
                </c:pt>
                <c:pt idx="33">
                  <c:v>40.50432162397906</c:v>
                </c:pt>
                <c:pt idx="34">
                  <c:v>40.416771374997587</c:v>
                </c:pt>
                <c:pt idx="35">
                  <c:v>40.370514748194765</c:v>
                </c:pt>
                <c:pt idx="36">
                  <c:v>39.475949124988055</c:v>
                </c:pt>
                <c:pt idx="37">
                  <c:v>39.27384109670912</c:v>
                </c:pt>
                <c:pt idx="38">
                  <c:v>38.712970415595123</c:v>
                </c:pt>
                <c:pt idx="39">
                  <c:v>38.708476784218853</c:v>
                </c:pt>
                <c:pt idx="40">
                  <c:v>38.988957775413624</c:v>
                </c:pt>
                <c:pt idx="41">
                  <c:v>38.890484121058975</c:v>
                </c:pt>
                <c:pt idx="42">
                  <c:v>38.804802690758343</c:v>
                </c:pt>
                <c:pt idx="43">
                  <c:v>38.457272067920982</c:v>
                </c:pt>
                <c:pt idx="44">
                  <c:v>38.063307366137458</c:v>
                </c:pt>
                <c:pt idx="45">
                  <c:v>38.201376102335495</c:v>
                </c:pt>
                <c:pt idx="46">
                  <c:v>38.884538414687206</c:v>
                </c:pt>
                <c:pt idx="47">
                  <c:v>39.498336710893589</c:v>
                </c:pt>
                <c:pt idx="48">
                  <c:v>38.845447010918519</c:v>
                </c:pt>
                <c:pt idx="49">
                  <c:v>39.080764263717342</c:v>
                </c:pt>
                <c:pt idx="50">
                  <c:v>38.306843388513087</c:v>
                </c:pt>
                <c:pt idx="51">
                  <c:v>37.910358267126362</c:v>
                </c:pt>
                <c:pt idx="52">
                  <c:v>38.626697063527175</c:v>
                </c:pt>
                <c:pt idx="53">
                  <c:v>38.164180201366946</c:v>
                </c:pt>
                <c:pt idx="54">
                  <c:v>38.048125778928195</c:v>
                </c:pt>
                <c:pt idx="55">
                  <c:v>37.722277722277724</c:v>
                </c:pt>
                <c:pt idx="56">
                  <c:v>38.016226438113833</c:v>
                </c:pt>
                <c:pt idx="57">
                  <c:v>38.529609367501678</c:v>
                </c:pt>
                <c:pt idx="58">
                  <c:v>38.682245198335544</c:v>
                </c:pt>
                <c:pt idx="59">
                  <c:v>39.048405860632933</c:v>
                </c:pt>
                <c:pt idx="60">
                  <c:v>36.914638327048337</c:v>
                </c:pt>
                <c:pt idx="61">
                  <c:v>36.652535070485641</c:v>
                </c:pt>
                <c:pt idx="62">
                  <c:v>36.668507455193534</c:v>
                </c:pt>
                <c:pt idx="63">
                  <c:v>36.19468151711866</c:v>
                </c:pt>
                <c:pt idx="64">
                  <c:v>36.486397034487325</c:v>
                </c:pt>
                <c:pt idx="65">
                  <c:v>36.875624375624376</c:v>
                </c:pt>
                <c:pt idx="66">
                  <c:v>36.929252383341691</c:v>
                </c:pt>
                <c:pt idx="67">
                  <c:v>36.840543587917637</c:v>
                </c:pt>
                <c:pt idx="68">
                  <c:v>34.472141797895631</c:v>
                </c:pt>
                <c:pt idx="69">
                  <c:v>34.470387163297886</c:v>
                </c:pt>
                <c:pt idx="70">
                  <c:v>34.403796280968933</c:v>
                </c:pt>
                <c:pt idx="71">
                  <c:v>34.152601478588366</c:v>
                </c:pt>
                <c:pt idx="72">
                  <c:v>33.252786458003868</c:v>
                </c:pt>
                <c:pt idx="73">
                  <c:v>33.13204410434443</c:v>
                </c:pt>
                <c:pt idx="74">
                  <c:v>33.137601018288365</c:v>
                </c:pt>
                <c:pt idx="75">
                  <c:v>33.317858072990383</c:v>
                </c:pt>
                <c:pt idx="76">
                  <c:v>33.298835135313681</c:v>
                </c:pt>
                <c:pt idx="77">
                  <c:v>33.059953510810935</c:v>
                </c:pt>
                <c:pt idx="78">
                  <c:v>32.798471613309331</c:v>
                </c:pt>
                <c:pt idx="79">
                  <c:v>32.623969961665154</c:v>
                </c:pt>
                <c:pt idx="80">
                  <c:v>32.416301408188005</c:v>
                </c:pt>
                <c:pt idx="81">
                  <c:v>32.148781570524051</c:v>
                </c:pt>
                <c:pt idx="82">
                  <c:v>31.858447698168636</c:v>
                </c:pt>
                <c:pt idx="83">
                  <c:v>31.980496511792428</c:v>
                </c:pt>
                <c:pt idx="84">
                  <c:v>34.590033166799614</c:v>
                </c:pt>
                <c:pt idx="85">
                  <c:v>34.331386412542265</c:v>
                </c:pt>
                <c:pt idx="86">
                  <c:v>34.175667413898516</c:v>
                </c:pt>
                <c:pt idx="87">
                  <c:v>34.152595434261919</c:v>
                </c:pt>
                <c:pt idx="88">
                  <c:v>34.377420700339641</c:v>
                </c:pt>
                <c:pt idx="89">
                  <c:v>34.260707749251054</c:v>
                </c:pt>
                <c:pt idx="90">
                  <c:v>34.047855377922325</c:v>
                </c:pt>
                <c:pt idx="91">
                  <c:v>34.055946301827412</c:v>
                </c:pt>
                <c:pt idx="92">
                  <c:v>31.194805495433975</c:v>
                </c:pt>
                <c:pt idx="93">
                  <c:v>31.295888824551248</c:v>
                </c:pt>
                <c:pt idx="94">
                  <c:v>31.609950609452177</c:v>
                </c:pt>
                <c:pt idx="95">
                  <c:v>31.666388974841126</c:v>
                </c:pt>
                <c:pt idx="96">
                  <c:v>31.598544469831598</c:v>
                </c:pt>
                <c:pt idx="97">
                  <c:v>31.390685110911026</c:v>
                </c:pt>
                <c:pt idx="98">
                  <c:v>29.429453193004669</c:v>
                </c:pt>
                <c:pt idx="99">
                  <c:v>29.014125247071298</c:v>
                </c:pt>
                <c:pt idx="100">
                  <c:v>28.892426654537186</c:v>
                </c:pt>
                <c:pt idx="101">
                  <c:v>28.762187177067894</c:v>
                </c:pt>
                <c:pt idx="102">
                  <c:v>28.607953563901457</c:v>
                </c:pt>
                <c:pt idx="103">
                  <c:v>28.932646417396253</c:v>
                </c:pt>
                <c:pt idx="104">
                  <c:v>27.753014558888978</c:v>
                </c:pt>
                <c:pt idx="105">
                  <c:v>27.129159227677867</c:v>
                </c:pt>
                <c:pt idx="106">
                  <c:v>25.896861758930722</c:v>
                </c:pt>
                <c:pt idx="107">
                  <c:v>25.82343120887754</c:v>
                </c:pt>
                <c:pt idx="108">
                  <c:v>23.764466488617579</c:v>
                </c:pt>
                <c:pt idx="109">
                  <c:v>24.225834889986253</c:v>
                </c:pt>
                <c:pt idx="110">
                  <c:v>25.204552302806942</c:v>
                </c:pt>
                <c:pt idx="111">
                  <c:v>24.72674403510138</c:v>
                </c:pt>
                <c:pt idx="112">
                  <c:v>23.66579210488727</c:v>
                </c:pt>
                <c:pt idx="113">
                  <c:v>24.273926689673779</c:v>
                </c:pt>
                <c:pt idx="114">
                  <c:v>25.715051681510833</c:v>
                </c:pt>
                <c:pt idx="115">
                  <c:v>24.736316949563395</c:v>
                </c:pt>
                <c:pt idx="116">
                  <c:v>25.775784568009673</c:v>
                </c:pt>
                <c:pt idx="117">
                  <c:v>24.98634723448561</c:v>
                </c:pt>
                <c:pt idx="118">
                  <c:v>24.511171772318267</c:v>
                </c:pt>
                <c:pt idx="119">
                  <c:v>24.041425599441183</c:v>
                </c:pt>
                <c:pt idx="120">
                  <c:v>23.971685209470227</c:v>
                </c:pt>
                <c:pt idx="121">
                  <c:v>24.524257057458922</c:v>
                </c:pt>
                <c:pt idx="122">
                  <c:v>24.525495480606651</c:v>
                </c:pt>
                <c:pt idx="123">
                  <c:v>24.41497561610807</c:v>
                </c:pt>
                <c:pt idx="124">
                  <c:v>22.863045970495232</c:v>
                </c:pt>
                <c:pt idx="125">
                  <c:v>24.452077562326867</c:v>
                </c:pt>
                <c:pt idx="126">
                  <c:v>23.99104672042953</c:v>
                </c:pt>
                <c:pt idx="127">
                  <c:v>23.827368578123998</c:v>
                </c:pt>
                <c:pt idx="128">
                  <c:v>22.632819558321046</c:v>
                </c:pt>
                <c:pt idx="129">
                  <c:v>21.956813734064216</c:v>
                </c:pt>
                <c:pt idx="130">
                  <c:v>21.275763620008608</c:v>
                </c:pt>
                <c:pt idx="131">
                  <c:v>20.695029037242264</c:v>
                </c:pt>
                <c:pt idx="132">
                  <c:v>21.709997667124604</c:v>
                </c:pt>
                <c:pt idx="133">
                  <c:v>19.192284880183017</c:v>
                </c:pt>
                <c:pt idx="134">
                  <c:v>20.390224703541467</c:v>
                </c:pt>
                <c:pt idx="135">
                  <c:v>21.385344740885117</c:v>
                </c:pt>
                <c:pt idx="136">
                  <c:v>20.09398889846247</c:v>
                </c:pt>
                <c:pt idx="137">
                  <c:v>18.732798652337905</c:v>
                </c:pt>
                <c:pt idx="138">
                  <c:v>18.921713653793677</c:v>
                </c:pt>
                <c:pt idx="139">
                  <c:v>16.829773555253951</c:v>
                </c:pt>
                <c:pt idx="140">
                  <c:v>14.30451127819549</c:v>
                </c:pt>
                <c:pt idx="141">
                  <c:v>14.588828223435529</c:v>
                </c:pt>
                <c:pt idx="142">
                  <c:v>15.142344190818157</c:v>
                </c:pt>
                <c:pt idx="143">
                  <c:v>14.213898472153771</c:v>
                </c:pt>
                <c:pt idx="144">
                  <c:v>15.137140585663179</c:v>
                </c:pt>
                <c:pt idx="145">
                  <c:v>17.743407980237365</c:v>
                </c:pt>
                <c:pt idx="146">
                  <c:v>19.005857334859165</c:v>
                </c:pt>
                <c:pt idx="147">
                  <c:v>18.970487111987829</c:v>
                </c:pt>
                <c:pt idx="148">
                  <c:v>21.007052478738853</c:v>
                </c:pt>
                <c:pt idx="149">
                  <c:v>20.707495269408408</c:v>
                </c:pt>
                <c:pt idx="150">
                  <c:v>18.734866933531219</c:v>
                </c:pt>
                <c:pt idx="151">
                  <c:v>18.786016268031901</c:v>
                </c:pt>
                <c:pt idx="152">
                  <c:v>20.238362310712283</c:v>
                </c:pt>
                <c:pt idx="153">
                  <c:v>19.7890831934013</c:v>
                </c:pt>
                <c:pt idx="154">
                  <c:v>20.645555442419305</c:v>
                </c:pt>
                <c:pt idx="155">
                  <c:v>20.05951874840575</c:v>
                </c:pt>
                <c:pt idx="156">
                  <c:v>23.805349856430407</c:v>
                </c:pt>
                <c:pt idx="157">
                  <c:v>24.268765327711741</c:v>
                </c:pt>
                <c:pt idx="158">
                  <c:v>24.688053291931645</c:v>
                </c:pt>
                <c:pt idx="159">
                  <c:v>26.364620157275802</c:v>
                </c:pt>
                <c:pt idx="160">
                  <c:v>26.275684753986191</c:v>
                </c:pt>
                <c:pt idx="161">
                  <c:v>26.407974411194196</c:v>
                </c:pt>
                <c:pt idx="162">
                  <c:v>26.095191299603197</c:v>
                </c:pt>
                <c:pt idx="163">
                  <c:v>24.667825338685116</c:v>
                </c:pt>
                <c:pt idx="164">
                  <c:v>23.337382326146368</c:v>
                </c:pt>
                <c:pt idx="165">
                  <c:v>23.378100165896036</c:v>
                </c:pt>
                <c:pt idx="166">
                  <c:v>24.826680752294418</c:v>
                </c:pt>
                <c:pt idx="167">
                  <c:v>24.913701298543778</c:v>
                </c:pt>
                <c:pt idx="168">
                  <c:v>25.441094428408569</c:v>
                </c:pt>
                <c:pt idx="169">
                  <c:v>24.115318812083451</c:v>
                </c:pt>
                <c:pt idx="170">
                  <c:v>24.301101519731027</c:v>
                </c:pt>
                <c:pt idx="171">
                  <c:v>24.24328454835868</c:v>
                </c:pt>
                <c:pt idx="172">
                  <c:v>23.611143526190087</c:v>
                </c:pt>
                <c:pt idx="173">
                  <c:v>23.430171110049528</c:v>
                </c:pt>
                <c:pt idx="174">
                  <c:v>23.457017121539462</c:v>
                </c:pt>
                <c:pt idx="175">
                  <c:v>23.081595415672478</c:v>
                </c:pt>
                <c:pt idx="176">
                  <c:v>21.607509741409846</c:v>
                </c:pt>
                <c:pt idx="177">
                  <c:v>20.558750872607526</c:v>
                </c:pt>
                <c:pt idx="178">
                  <c:v>20.42216004373083</c:v>
                </c:pt>
                <c:pt idx="179">
                  <c:v>20.497986890742446</c:v>
                </c:pt>
                <c:pt idx="180">
                  <c:v>21.745599836171646</c:v>
                </c:pt>
                <c:pt idx="181">
                  <c:v>21.564342163388069</c:v>
                </c:pt>
                <c:pt idx="182">
                  <c:v>21.932049468554478</c:v>
                </c:pt>
                <c:pt idx="183">
                  <c:v>22.954705056179776</c:v>
                </c:pt>
                <c:pt idx="184">
                  <c:v>23.69636528966355</c:v>
                </c:pt>
                <c:pt idx="185">
                  <c:v>24.510355808782435</c:v>
                </c:pt>
                <c:pt idx="186">
                  <c:v>22.985178622975621</c:v>
                </c:pt>
                <c:pt idx="187">
                  <c:v>25.48335041029895</c:v>
                </c:pt>
                <c:pt idx="188">
                  <c:v>21.814535179126963</c:v>
                </c:pt>
                <c:pt idx="189">
                  <c:v>22.196869806474652</c:v>
                </c:pt>
                <c:pt idx="190">
                  <c:v>22.973114663130779</c:v>
                </c:pt>
                <c:pt idx="191">
                  <c:v>23.45660403160139</c:v>
                </c:pt>
                <c:pt idx="192">
                  <c:v>23.439757590031839</c:v>
                </c:pt>
                <c:pt idx="193">
                  <c:v>22.446619360531674</c:v>
                </c:pt>
                <c:pt idx="194">
                  <c:v>22.836967987772063</c:v>
                </c:pt>
                <c:pt idx="195">
                  <c:v>22.32701795708822</c:v>
                </c:pt>
                <c:pt idx="196">
                  <c:v>22.344584988831837</c:v>
                </c:pt>
                <c:pt idx="197">
                  <c:v>23.223222547158979</c:v>
                </c:pt>
                <c:pt idx="198">
                  <c:v>23.436362648704439</c:v>
                </c:pt>
                <c:pt idx="199">
                  <c:v>23.320832230229609</c:v>
                </c:pt>
                <c:pt idx="200">
                  <c:v>23.125864417503522</c:v>
                </c:pt>
                <c:pt idx="201">
                  <c:v>22.910068156919596</c:v>
                </c:pt>
                <c:pt idx="202">
                  <c:v>23.185097807204951</c:v>
                </c:pt>
                <c:pt idx="203">
                  <c:v>22.315660058398645</c:v>
                </c:pt>
                <c:pt idx="204">
                  <c:v>24.264441407093017</c:v>
                </c:pt>
                <c:pt idx="205">
                  <c:v>23.98853891707811</c:v>
                </c:pt>
                <c:pt idx="206">
                  <c:v>24.56540892340341</c:v>
                </c:pt>
                <c:pt idx="207">
                  <c:v>24.809890208783298</c:v>
                </c:pt>
                <c:pt idx="208">
                  <c:v>24.819682192365679</c:v>
                </c:pt>
                <c:pt idx="209">
                  <c:v>24.221076092424116</c:v>
                </c:pt>
                <c:pt idx="210">
                  <c:v>24.553464549932297</c:v>
                </c:pt>
                <c:pt idx="211">
                  <c:v>24.373378332942124</c:v>
                </c:pt>
                <c:pt idx="212">
                  <c:v>26.230309917328569</c:v>
                </c:pt>
                <c:pt idx="213">
                  <c:v>26.401276394579259</c:v>
                </c:pt>
                <c:pt idx="214">
                  <c:v>25.210163946897939</c:v>
                </c:pt>
                <c:pt idx="215">
                  <c:v>26.130102300258155</c:v>
                </c:pt>
                <c:pt idx="216">
                  <c:v>21.59644175832447</c:v>
                </c:pt>
                <c:pt idx="217">
                  <c:v>20.242438107065482</c:v>
                </c:pt>
                <c:pt idx="218">
                  <c:v>19.589670860018639</c:v>
                </c:pt>
                <c:pt idx="219">
                  <c:v>18.207249877344605</c:v>
                </c:pt>
                <c:pt idx="220">
                  <c:v>16.853550649790211</c:v>
                </c:pt>
                <c:pt idx="221">
                  <c:v>15.986818240013658</c:v>
                </c:pt>
                <c:pt idx="222">
                  <c:v>15.540730639048093</c:v>
                </c:pt>
                <c:pt idx="223">
                  <c:v>15.687108686956194</c:v>
                </c:pt>
                <c:pt idx="224">
                  <c:v>17.530090605523583</c:v>
                </c:pt>
                <c:pt idx="225">
                  <c:v>17.492305668528964</c:v>
                </c:pt>
                <c:pt idx="226">
                  <c:v>18.369459352624993</c:v>
                </c:pt>
                <c:pt idx="227">
                  <c:v>18.947294769945291</c:v>
                </c:pt>
                <c:pt idx="228">
                  <c:v>17.730947968783646</c:v>
                </c:pt>
                <c:pt idx="229">
                  <c:v>18.233497540920769</c:v>
                </c:pt>
                <c:pt idx="230">
                  <c:v>18.762020983475701</c:v>
                </c:pt>
                <c:pt idx="231">
                  <c:v>19.040586966669139</c:v>
                </c:pt>
                <c:pt idx="232">
                  <c:v>19.651658809127873</c:v>
                </c:pt>
                <c:pt idx="233">
                  <c:v>18.932959532237252</c:v>
                </c:pt>
                <c:pt idx="234">
                  <c:v>18.708696460596315</c:v>
                </c:pt>
                <c:pt idx="235">
                  <c:v>19.445868924170853</c:v>
                </c:pt>
                <c:pt idx="236">
                  <c:v>19.742860743318381</c:v>
                </c:pt>
                <c:pt idx="237">
                  <c:v>19.768961548854389</c:v>
                </c:pt>
                <c:pt idx="238">
                  <c:v>20.294860820819366</c:v>
                </c:pt>
                <c:pt idx="239">
                  <c:v>19.550985837206174</c:v>
                </c:pt>
                <c:pt idx="240">
                  <c:v>20.317420647704125</c:v>
                </c:pt>
                <c:pt idx="241">
                  <c:v>19.168462772378746</c:v>
                </c:pt>
                <c:pt idx="242">
                  <c:v>18.266760414713183</c:v>
                </c:pt>
                <c:pt idx="243">
                  <c:v>17.151052522155695</c:v>
                </c:pt>
                <c:pt idx="244">
                  <c:v>15.507301976704499</c:v>
                </c:pt>
                <c:pt idx="245">
                  <c:v>14.460647451003114</c:v>
                </c:pt>
                <c:pt idx="246">
                  <c:v>14.133025276392686</c:v>
                </c:pt>
                <c:pt idx="247">
                  <c:v>14.303939642491276</c:v>
                </c:pt>
                <c:pt idx="248">
                  <c:v>9.7820646473534367</c:v>
                </c:pt>
                <c:pt idx="249">
                  <c:v>10.239373657843498</c:v>
                </c:pt>
                <c:pt idx="250">
                  <c:v>10.261682495681971</c:v>
                </c:pt>
                <c:pt idx="251">
                  <c:v>11.189164745303829</c:v>
                </c:pt>
                <c:pt idx="252">
                  <c:v>11.455976540967965</c:v>
                </c:pt>
                <c:pt idx="253">
                  <c:v>11.923802137339369</c:v>
                </c:pt>
                <c:pt idx="254">
                  <c:v>12.084653393170134</c:v>
                </c:pt>
                <c:pt idx="255">
                  <c:v>12.354764261204014</c:v>
                </c:pt>
                <c:pt idx="256">
                  <c:v>13.08341869866647</c:v>
                </c:pt>
                <c:pt idx="257">
                  <c:v>12.521352422035756</c:v>
                </c:pt>
                <c:pt idx="258">
                  <c:v>11.233814035279194</c:v>
                </c:pt>
                <c:pt idx="259">
                  <c:v>12.439444504252341</c:v>
                </c:pt>
                <c:pt idx="260">
                  <c:v>11.888673576952502</c:v>
                </c:pt>
                <c:pt idx="261">
                  <c:v>12.898897508919788</c:v>
                </c:pt>
                <c:pt idx="262">
                  <c:v>13.000526376460556</c:v>
                </c:pt>
                <c:pt idx="263">
                  <c:v>13.19844771126678</c:v>
                </c:pt>
                <c:pt idx="264">
                  <c:v>13.963705395109665</c:v>
                </c:pt>
                <c:pt idx="265">
                  <c:v>13.864571260227709</c:v>
                </c:pt>
                <c:pt idx="266">
                  <c:v>13.958637503418291</c:v>
                </c:pt>
                <c:pt idx="267">
                  <c:v>13.700954247074678</c:v>
                </c:pt>
                <c:pt idx="268">
                  <c:v>15.493843165953356</c:v>
                </c:pt>
                <c:pt idx="269">
                  <c:v>15.713407724662453</c:v>
                </c:pt>
                <c:pt idx="270">
                  <c:v>14.255009964869245</c:v>
                </c:pt>
                <c:pt idx="271">
                  <c:v>14.565748193294764</c:v>
                </c:pt>
                <c:pt idx="272">
                  <c:v>15.829027540600743</c:v>
                </c:pt>
                <c:pt idx="273">
                  <c:v>15.891070171507209</c:v>
                </c:pt>
                <c:pt idx="274">
                  <c:v>15.25145109151568</c:v>
                </c:pt>
                <c:pt idx="275">
                  <c:v>14.812294488045355</c:v>
                </c:pt>
                <c:pt idx="276">
                  <c:v>14.994014866299835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6F-48B8-A837-E793379C5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92760"/>
        <c:axId val="576194400"/>
      </c:scatterChart>
      <c:scatterChart>
        <c:scatterStyle val="lineMarker"/>
        <c:varyColors val="0"/>
        <c:ser>
          <c:idx val="0"/>
          <c:order val="0"/>
          <c:tx>
            <c:strRef>
              <c:f>'Narrative Shocks (Quarterly)'!$C$1</c:f>
              <c:strCache>
                <c:ptCount val="1"/>
                <c:pt idx="0">
                  <c:v>Narrative CI Shocks (T_CI, right axis)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'Narrative Shocks (Quarterly)'!$A$2:$A$278</c:f>
              <c:numCache>
                <c:formatCode>General</c:formatCode>
                <c:ptCount val="277"/>
                <c:pt idx="0">
                  <c:v>1950</c:v>
                </c:pt>
                <c:pt idx="1">
                  <c:v>1950.25</c:v>
                </c:pt>
                <c:pt idx="2">
                  <c:v>1950.5</c:v>
                </c:pt>
                <c:pt idx="3">
                  <c:v>1950.75</c:v>
                </c:pt>
                <c:pt idx="4">
                  <c:v>1951</c:v>
                </c:pt>
                <c:pt idx="5">
                  <c:v>1951.25</c:v>
                </c:pt>
                <c:pt idx="6">
                  <c:v>1951.5</c:v>
                </c:pt>
                <c:pt idx="7">
                  <c:v>1951.75</c:v>
                </c:pt>
                <c:pt idx="8">
                  <c:v>1952</c:v>
                </c:pt>
                <c:pt idx="9">
                  <c:v>1952.25</c:v>
                </c:pt>
                <c:pt idx="10">
                  <c:v>1952.5</c:v>
                </c:pt>
                <c:pt idx="11">
                  <c:v>1952.75</c:v>
                </c:pt>
                <c:pt idx="12">
                  <c:v>1953</c:v>
                </c:pt>
                <c:pt idx="13">
                  <c:v>1953.25</c:v>
                </c:pt>
                <c:pt idx="14">
                  <c:v>1953.5</c:v>
                </c:pt>
                <c:pt idx="15">
                  <c:v>1953.75</c:v>
                </c:pt>
                <c:pt idx="16">
                  <c:v>1954</c:v>
                </c:pt>
                <c:pt idx="17">
                  <c:v>1954.25</c:v>
                </c:pt>
                <c:pt idx="18">
                  <c:v>1954.5</c:v>
                </c:pt>
                <c:pt idx="19">
                  <c:v>1954.75</c:v>
                </c:pt>
                <c:pt idx="20">
                  <c:v>1955</c:v>
                </c:pt>
                <c:pt idx="21">
                  <c:v>1955.25</c:v>
                </c:pt>
                <c:pt idx="22">
                  <c:v>1955.5</c:v>
                </c:pt>
                <c:pt idx="23">
                  <c:v>1955.75</c:v>
                </c:pt>
                <c:pt idx="24">
                  <c:v>1956</c:v>
                </c:pt>
                <c:pt idx="25">
                  <c:v>1956.25</c:v>
                </c:pt>
                <c:pt idx="26">
                  <c:v>1956.5</c:v>
                </c:pt>
                <c:pt idx="27">
                  <c:v>1956.75</c:v>
                </c:pt>
                <c:pt idx="28">
                  <c:v>1957</c:v>
                </c:pt>
                <c:pt idx="29">
                  <c:v>1957.25</c:v>
                </c:pt>
                <c:pt idx="30">
                  <c:v>1957.5</c:v>
                </c:pt>
                <c:pt idx="31">
                  <c:v>1957.75</c:v>
                </c:pt>
                <c:pt idx="32">
                  <c:v>1958</c:v>
                </c:pt>
                <c:pt idx="33">
                  <c:v>1958.25</c:v>
                </c:pt>
                <c:pt idx="34">
                  <c:v>1958.5</c:v>
                </c:pt>
                <c:pt idx="35">
                  <c:v>1958.75</c:v>
                </c:pt>
                <c:pt idx="36">
                  <c:v>1959</c:v>
                </c:pt>
                <c:pt idx="37">
                  <c:v>1959.25</c:v>
                </c:pt>
                <c:pt idx="38">
                  <c:v>1959.5</c:v>
                </c:pt>
                <c:pt idx="39">
                  <c:v>1959.75</c:v>
                </c:pt>
                <c:pt idx="40">
                  <c:v>1960</c:v>
                </c:pt>
                <c:pt idx="41">
                  <c:v>1960.25</c:v>
                </c:pt>
                <c:pt idx="42">
                  <c:v>1960.5</c:v>
                </c:pt>
                <c:pt idx="43">
                  <c:v>1960.75</c:v>
                </c:pt>
                <c:pt idx="44">
                  <c:v>1961</c:v>
                </c:pt>
                <c:pt idx="45">
                  <c:v>1961.25</c:v>
                </c:pt>
                <c:pt idx="46">
                  <c:v>1961.5</c:v>
                </c:pt>
                <c:pt idx="47">
                  <c:v>1961.75</c:v>
                </c:pt>
                <c:pt idx="48">
                  <c:v>1962</c:v>
                </c:pt>
                <c:pt idx="49">
                  <c:v>1962.25</c:v>
                </c:pt>
                <c:pt idx="50">
                  <c:v>1962.5</c:v>
                </c:pt>
                <c:pt idx="51">
                  <c:v>1962.75</c:v>
                </c:pt>
                <c:pt idx="52">
                  <c:v>1963</c:v>
                </c:pt>
                <c:pt idx="53">
                  <c:v>1963.25</c:v>
                </c:pt>
                <c:pt idx="54">
                  <c:v>1963.5</c:v>
                </c:pt>
                <c:pt idx="55">
                  <c:v>1963.75</c:v>
                </c:pt>
                <c:pt idx="56">
                  <c:v>1964</c:v>
                </c:pt>
                <c:pt idx="57">
                  <c:v>1964.25</c:v>
                </c:pt>
                <c:pt idx="58">
                  <c:v>1964.5</c:v>
                </c:pt>
                <c:pt idx="59">
                  <c:v>1964.75</c:v>
                </c:pt>
                <c:pt idx="60">
                  <c:v>1965</c:v>
                </c:pt>
                <c:pt idx="61">
                  <c:v>1965.25</c:v>
                </c:pt>
                <c:pt idx="62">
                  <c:v>1965.5</c:v>
                </c:pt>
                <c:pt idx="63">
                  <c:v>1965.75</c:v>
                </c:pt>
                <c:pt idx="64">
                  <c:v>1966</c:v>
                </c:pt>
                <c:pt idx="65">
                  <c:v>1966.25</c:v>
                </c:pt>
                <c:pt idx="66">
                  <c:v>1966.5</c:v>
                </c:pt>
                <c:pt idx="67">
                  <c:v>1966.75</c:v>
                </c:pt>
                <c:pt idx="68">
                  <c:v>1967</c:v>
                </c:pt>
                <c:pt idx="69">
                  <c:v>1967.25</c:v>
                </c:pt>
                <c:pt idx="70">
                  <c:v>1967.5</c:v>
                </c:pt>
                <c:pt idx="71">
                  <c:v>1967.75</c:v>
                </c:pt>
                <c:pt idx="72">
                  <c:v>1968</c:v>
                </c:pt>
                <c:pt idx="73">
                  <c:v>1968.25</c:v>
                </c:pt>
                <c:pt idx="74">
                  <c:v>1968.5</c:v>
                </c:pt>
                <c:pt idx="75">
                  <c:v>1968.75</c:v>
                </c:pt>
                <c:pt idx="76">
                  <c:v>1969</c:v>
                </c:pt>
                <c:pt idx="77">
                  <c:v>1969.25</c:v>
                </c:pt>
                <c:pt idx="78">
                  <c:v>1969.5</c:v>
                </c:pt>
                <c:pt idx="79">
                  <c:v>1969.75</c:v>
                </c:pt>
                <c:pt idx="80">
                  <c:v>1970</c:v>
                </c:pt>
                <c:pt idx="81">
                  <c:v>1970.25</c:v>
                </c:pt>
                <c:pt idx="82">
                  <c:v>1970.5</c:v>
                </c:pt>
                <c:pt idx="83">
                  <c:v>1970.75</c:v>
                </c:pt>
                <c:pt idx="84">
                  <c:v>1971</c:v>
                </c:pt>
                <c:pt idx="85">
                  <c:v>1971.25</c:v>
                </c:pt>
                <c:pt idx="86">
                  <c:v>1971.5</c:v>
                </c:pt>
                <c:pt idx="87">
                  <c:v>1971.75</c:v>
                </c:pt>
                <c:pt idx="88">
                  <c:v>1972</c:v>
                </c:pt>
                <c:pt idx="89">
                  <c:v>1972.25</c:v>
                </c:pt>
                <c:pt idx="90">
                  <c:v>1972.5</c:v>
                </c:pt>
                <c:pt idx="91">
                  <c:v>1972.75</c:v>
                </c:pt>
                <c:pt idx="92">
                  <c:v>1973</c:v>
                </c:pt>
                <c:pt idx="93">
                  <c:v>1973.25</c:v>
                </c:pt>
                <c:pt idx="94">
                  <c:v>1973.5</c:v>
                </c:pt>
                <c:pt idx="95">
                  <c:v>1973.75</c:v>
                </c:pt>
                <c:pt idx="96">
                  <c:v>1974</c:v>
                </c:pt>
                <c:pt idx="97">
                  <c:v>1974.25</c:v>
                </c:pt>
                <c:pt idx="98">
                  <c:v>1974.5</c:v>
                </c:pt>
                <c:pt idx="99">
                  <c:v>1974.75</c:v>
                </c:pt>
                <c:pt idx="100">
                  <c:v>1975</c:v>
                </c:pt>
                <c:pt idx="101">
                  <c:v>1975.25</c:v>
                </c:pt>
                <c:pt idx="102">
                  <c:v>1975.5</c:v>
                </c:pt>
                <c:pt idx="103">
                  <c:v>1975.75</c:v>
                </c:pt>
                <c:pt idx="104">
                  <c:v>1976</c:v>
                </c:pt>
                <c:pt idx="105">
                  <c:v>1976.25</c:v>
                </c:pt>
                <c:pt idx="106">
                  <c:v>1976.5</c:v>
                </c:pt>
                <c:pt idx="107">
                  <c:v>1976.75</c:v>
                </c:pt>
                <c:pt idx="108">
                  <c:v>1977</c:v>
                </c:pt>
                <c:pt idx="109">
                  <c:v>1977.25</c:v>
                </c:pt>
                <c:pt idx="110">
                  <c:v>1977.5</c:v>
                </c:pt>
                <c:pt idx="111">
                  <c:v>1977.75</c:v>
                </c:pt>
                <c:pt idx="112">
                  <c:v>1978</c:v>
                </c:pt>
                <c:pt idx="113">
                  <c:v>1978.25</c:v>
                </c:pt>
                <c:pt idx="114">
                  <c:v>1978.5</c:v>
                </c:pt>
                <c:pt idx="115">
                  <c:v>1978.75</c:v>
                </c:pt>
                <c:pt idx="116">
                  <c:v>1979</c:v>
                </c:pt>
                <c:pt idx="117">
                  <c:v>1979.25</c:v>
                </c:pt>
                <c:pt idx="118">
                  <c:v>1979.5</c:v>
                </c:pt>
                <c:pt idx="119">
                  <c:v>1979.75</c:v>
                </c:pt>
                <c:pt idx="120">
                  <c:v>1980</c:v>
                </c:pt>
                <c:pt idx="121">
                  <c:v>1980.25</c:v>
                </c:pt>
                <c:pt idx="122">
                  <c:v>1980.5</c:v>
                </c:pt>
                <c:pt idx="123">
                  <c:v>1980.75</c:v>
                </c:pt>
                <c:pt idx="124">
                  <c:v>1981</c:v>
                </c:pt>
                <c:pt idx="125">
                  <c:v>1981.25</c:v>
                </c:pt>
                <c:pt idx="126">
                  <c:v>1981.5</c:v>
                </c:pt>
                <c:pt idx="127">
                  <c:v>1981.75</c:v>
                </c:pt>
                <c:pt idx="128">
                  <c:v>1982</c:v>
                </c:pt>
                <c:pt idx="129">
                  <c:v>1982.25</c:v>
                </c:pt>
                <c:pt idx="130">
                  <c:v>1982.5</c:v>
                </c:pt>
                <c:pt idx="131">
                  <c:v>1982.75</c:v>
                </c:pt>
                <c:pt idx="132">
                  <c:v>1983</c:v>
                </c:pt>
                <c:pt idx="133">
                  <c:v>1983.25</c:v>
                </c:pt>
                <c:pt idx="134">
                  <c:v>1983.5</c:v>
                </c:pt>
                <c:pt idx="135">
                  <c:v>1983.75</c:v>
                </c:pt>
                <c:pt idx="136">
                  <c:v>1984</c:v>
                </c:pt>
                <c:pt idx="137">
                  <c:v>1984.25</c:v>
                </c:pt>
                <c:pt idx="138">
                  <c:v>1984.5</c:v>
                </c:pt>
                <c:pt idx="139">
                  <c:v>1984.75</c:v>
                </c:pt>
                <c:pt idx="140">
                  <c:v>1985</c:v>
                </c:pt>
                <c:pt idx="141">
                  <c:v>1985.25</c:v>
                </c:pt>
                <c:pt idx="142">
                  <c:v>1985.5</c:v>
                </c:pt>
                <c:pt idx="143">
                  <c:v>1985.75</c:v>
                </c:pt>
                <c:pt idx="144">
                  <c:v>1986</c:v>
                </c:pt>
                <c:pt idx="145">
                  <c:v>1986.25</c:v>
                </c:pt>
                <c:pt idx="146">
                  <c:v>1986.5</c:v>
                </c:pt>
                <c:pt idx="147">
                  <c:v>1986.75</c:v>
                </c:pt>
                <c:pt idx="148">
                  <c:v>1987</c:v>
                </c:pt>
                <c:pt idx="149">
                  <c:v>1987.25</c:v>
                </c:pt>
                <c:pt idx="150">
                  <c:v>1987.5</c:v>
                </c:pt>
                <c:pt idx="151">
                  <c:v>1987.75</c:v>
                </c:pt>
                <c:pt idx="152">
                  <c:v>1988</c:v>
                </c:pt>
                <c:pt idx="153">
                  <c:v>1988.25</c:v>
                </c:pt>
                <c:pt idx="154">
                  <c:v>1988.5</c:v>
                </c:pt>
                <c:pt idx="155">
                  <c:v>1988.75</c:v>
                </c:pt>
                <c:pt idx="156">
                  <c:v>1989</c:v>
                </c:pt>
                <c:pt idx="157">
                  <c:v>1989.25</c:v>
                </c:pt>
                <c:pt idx="158">
                  <c:v>1989.5</c:v>
                </c:pt>
                <c:pt idx="159">
                  <c:v>1989.75</c:v>
                </c:pt>
                <c:pt idx="160">
                  <c:v>1990</c:v>
                </c:pt>
                <c:pt idx="161">
                  <c:v>1990.25</c:v>
                </c:pt>
                <c:pt idx="162">
                  <c:v>1990.5</c:v>
                </c:pt>
                <c:pt idx="163">
                  <c:v>1990.75</c:v>
                </c:pt>
                <c:pt idx="164">
                  <c:v>1991</c:v>
                </c:pt>
                <c:pt idx="165">
                  <c:v>1991.25</c:v>
                </c:pt>
                <c:pt idx="166">
                  <c:v>1991.5</c:v>
                </c:pt>
                <c:pt idx="167">
                  <c:v>1991.75</c:v>
                </c:pt>
                <c:pt idx="168">
                  <c:v>1992</c:v>
                </c:pt>
                <c:pt idx="169">
                  <c:v>1992.25</c:v>
                </c:pt>
                <c:pt idx="170">
                  <c:v>1992.5</c:v>
                </c:pt>
                <c:pt idx="171">
                  <c:v>1992.75</c:v>
                </c:pt>
                <c:pt idx="172">
                  <c:v>1993</c:v>
                </c:pt>
                <c:pt idx="173">
                  <c:v>1993.25</c:v>
                </c:pt>
                <c:pt idx="174">
                  <c:v>1993.5</c:v>
                </c:pt>
                <c:pt idx="175">
                  <c:v>1993.75</c:v>
                </c:pt>
                <c:pt idx="176">
                  <c:v>1994</c:v>
                </c:pt>
                <c:pt idx="177">
                  <c:v>1994.25</c:v>
                </c:pt>
                <c:pt idx="178">
                  <c:v>1994.5</c:v>
                </c:pt>
                <c:pt idx="179">
                  <c:v>1994.75</c:v>
                </c:pt>
                <c:pt idx="180">
                  <c:v>1995</c:v>
                </c:pt>
                <c:pt idx="181">
                  <c:v>1995.25</c:v>
                </c:pt>
                <c:pt idx="182">
                  <c:v>1995.5</c:v>
                </c:pt>
                <c:pt idx="183">
                  <c:v>1995.75</c:v>
                </c:pt>
                <c:pt idx="184">
                  <c:v>1996</c:v>
                </c:pt>
                <c:pt idx="185">
                  <c:v>1996.25</c:v>
                </c:pt>
                <c:pt idx="186">
                  <c:v>1996.5</c:v>
                </c:pt>
                <c:pt idx="187">
                  <c:v>1996.75</c:v>
                </c:pt>
                <c:pt idx="188">
                  <c:v>1997</c:v>
                </c:pt>
                <c:pt idx="189">
                  <c:v>1997.25</c:v>
                </c:pt>
                <c:pt idx="190">
                  <c:v>1997.5</c:v>
                </c:pt>
                <c:pt idx="191">
                  <c:v>1997.75</c:v>
                </c:pt>
                <c:pt idx="192">
                  <c:v>1998</c:v>
                </c:pt>
                <c:pt idx="193">
                  <c:v>1998.25</c:v>
                </c:pt>
                <c:pt idx="194">
                  <c:v>1998.5</c:v>
                </c:pt>
                <c:pt idx="195">
                  <c:v>1998.75</c:v>
                </c:pt>
                <c:pt idx="196">
                  <c:v>1999</c:v>
                </c:pt>
                <c:pt idx="197">
                  <c:v>1999.25</c:v>
                </c:pt>
                <c:pt idx="198">
                  <c:v>1999.5</c:v>
                </c:pt>
                <c:pt idx="199">
                  <c:v>1999.75</c:v>
                </c:pt>
                <c:pt idx="200">
                  <c:v>2000</c:v>
                </c:pt>
                <c:pt idx="201">
                  <c:v>2000.25</c:v>
                </c:pt>
                <c:pt idx="202">
                  <c:v>2000.5</c:v>
                </c:pt>
                <c:pt idx="203">
                  <c:v>2000.75</c:v>
                </c:pt>
                <c:pt idx="204">
                  <c:v>2001</c:v>
                </c:pt>
                <c:pt idx="205">
                  <c:v>2001.25</c:v>
                </c:pt>
                <c:pt idx="206">
                  <c:v>2001.5</c:v>
                </c:pt>
                <c:pt idx="207">
                  <c:v>2001.75</c:v>
                </c:pt>
                <c:pt idx="208">
                  <c:v>2002</c:v>
                </c:pt>
                <c:pt idx="209">
                  <c:v>2002.25</c:v>
                </c:pt>
                <c:pt idx="210">
                  <c:v>2002.5</c:v>
                </c:pt>
                <c:pt idx="211">
                  <c:v>2002.75</c:v>
                </c:pt>
                <c:pt idx="212">
                  <c:v>2003</c:v>
                </c:pt>
                <c:pt idx="213">
                  <c:v>2003.25</c:v>
                </c:pt>
                <c:pt idx="214">
                  <c:v>2003.5</c:v>
                </c:pt>
                <c:pt idx="215">
                  <c:v>2003.75</c:v>
                </c:pt>
                <c:pt idx="216">
                  <c:v>2004</c:v>
                </c:pt>
                <c:pt idx="217">
                  <c:v>2004.25</c:v>
                </c:pt>
                <c:pt idx="218">
                  <c:v>2004.5</c:v>
                </c:pt>
                <c:pt idx="219">
                  <c:v>2004.75</c:v>
                </c:pt>
                <c:pt idx="220">
                  <c:v>2005</c:v>
                </c:pt>
                <c:pt idx="221">
                  <c:v>2005.25</c:v>
                </c:pt>
                <c:pt idx="222">
                  <c:v>2005.5</c:v>
                </c:pt>
                <c:pt idx="223">
                  <c:v>2005.75</c:v>
                </c:pt>
                <c:pt idx="224">
                  <c:v>2006</c:v>
                </c:pt>
                <c:pt idx="225">
                  <c:v>2006.25</c:v>
                </c:pt>
                <c:pt idx="226">
                  <c:v>2006.5</c:v>
                </c:pt>
                <c:pt idx="227">
                  <c:v>2006.75</c:v>
                </c:pt>
                <c:pt idx="228">
                  <c:v>2007</c:v>
                </c:pt>
                <c:pt idx="229">
                  <c:v>2007.25</c:v>
                </c:pt>
                <c:pt idx="230">
                  <c:v>2007.5</c:v>
                </c:pt>
                <c:pt idx="231">
                  <c:v>2007.75</c:v>
                </c:pt>
                <c:pt idx="232">
                  <c:v>2008</c:v>
                </c:pt>
                <c:pt idx="233">
                  <c:v>2008.25</c:v>
                </c:pt>
                <c:pt idx="234">
                  <c:v>2008.5</c:v>
                </c:pt>
                <c:pt idx="235">
                  <c:v>2008.75</c:v>
                </c:pt>
                <c:pt idx="236">
                  <c:v>2009</c:v>
                </c:pt>
                <c:pt idx="237">
                  <c:v>2009.25</c:v>
                </c:pt>
                <c:pt idx="238">
                  <c:v>2009.5</c:v>
                </c:pt>
                <c:pt idx="239">
                  <c:v>2009.75</c:v>
                </c:pt>
                <c:pt idx="240">
                  <c:v>2010</c:v>
                </c:pt>
                <c:pt idx="241">
                  <c:v>2010.25</c:v>
                </c:pt>
                <c:pt idx="242">
                  <c:v>2010.5</c:v>
                </c:pt>
                <c:pt idx="243">
                  <c:v>2010.75</c:v>
                </c:pt>
                <c:pt idx="244">
                  <c:v>2011</c:v>
                </c:pt>
                <c:pt idx="245">
                  <c:v>2011.25</c:v>
                </c:pt>
                <c:pt idx="246">
                  <c:v>2011.5</c:v>
                </c:pt>
                <c:pt idx="247">
                  <c:v>2011.75</c:v>
                </c:pt>
                <c:pt idx="248">
                  <c:v>2012</c:v>
                </c:pt>
                <c:pt idx="249">
                  <c:v>2012.25</c:v>
                </c:pt>
                <c:pt idx="250">
                  <c:v>2012.5</c:v>
                </c:pt>
                <c:pt idx="251">
                  <c:v>2012.75</c:v>
                </c:pt>
                <c:pt idx="252">
                  <c:v>2013</c:v>
                </c:pt>
                <c:pt idx="253">
                  <c:v>2013.25</c:v>
                </c:pt>
                <c:pt idx="254">
                  <c:v>2013.5</c:v>
                </c:pt>
                <c:pt idx="255">
                  <c:v>2013.75</c:v>
                </c:pt>
                <c:pt idx="256">
                  <c:v>2014</c:v>
                </c:pt>
                <c:pt idx="257">
                  <c:v>2014.25</c:v>
                </c:pt>
                <c:pt idx="258">
                  <c:v>2014.5</c:v>
                </c:pt>
                <c:pt idx="259">
                  <c:v>2014.75</c:v>
                </c:pt>
                <c:pt idx="260">
                  <c:v>2015</c:v>
                </c:pt>
                <c:pt idx="261">
                  <c:v>2015.25</c:v>
                </c:pt>
                <c:pt idx="262">
                  <c:v>2015.5</c:v>
                </c:pt>
                <c:pt idx="263">
                  <c:v>2015.75</c:v>
                </c:pt>
                <c:pt idx="264">
                  <c:v>2016</c:v>
                </c:pt>
                <c:pt idx="265">
                  <c:v>2016.25</c:v>
                </c:pt>
                <c:pt idx="266">
                  <c:v>2016.5</c:v>
                </c:pt>
                <c:pt idx="267">
                  <c:v>2016.75</c:v>
                </c:pt>
                <c:pt idx="268">
                  <c:v>2017</c:v>
                </c:pt>
                <c:pt idx="269">
                  <c:v>2017.25</c:v>
                </c:pt>
                <c:pt idx="270">
                  <c:v>2017.5</c:v>
                </c:pt>
                <c:pt idx="271">
                  <c:v>2017.75</c:v>
                </c:pt>
                <c:pt idx="272">
                  <c:v>2018</c:v>
                </c:pt>
                <c:pt idx="273">
                  <c:v>2018.25</c:v>
                </c:pt>
                <c:pt idx="274">
                  <c:v>2018.5</c:v>
                </c:pt>
                <c:pt idx="275">
                  <c:v>2018.75</c:v>
                </c:pt>
                <c:pt idx="276">
                  <c:v>2019</c:v>
                </c:pt>
              </c:numCache>
            </c:numRef>
          </c:xVal>
          <c:yVal>
            <c:numRef>
              <c:f>'Narrative Shocks (Quarterly)'!$C$2:$C$278</c:f>
              <c:numCache>
                <c:formatCode>0.0000</c:formatCode>
                <c:ptCount val="2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-1.6304347826086956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-2.2131147540983607</c:v>
                </c:pt>
                <c:pt idx="51">
                  <c:v>-1.4469453376205788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-2.2606382978723403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-1.807909604519774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-3.4825870646766162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-1.5968063872255491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0.46612802983219387</c:v>
                </c:pt>
                <c:pt idx="108">
                  <c:v>0</c:v>
                </c:pt>
                <c:pt idx="109">
                  <c:v>0</c:v>
                </c:pt>
                <c:pt idx="110">
                  <c:v>-0.835509138381201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-2.755404832556168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-2.2099447513812152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1.0210396039603962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7.3821138211382111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1.8977732793522268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0.2319109461966605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-3.2838648563309127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-0.11192286276298376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-3.3089291351210353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6F-48B8-A837-E793379C5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420304"/>
        <c:axId val="439416696"/>
      </c:scatterChart>
      <c:valAx>
        <c:axId val="576192760"/>
        <c:scaling>
          <c:orientation val="minMax"/>
          <c:max val="2020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94400"/>
        <c:crosses val="autoZero"/>
        <c:crossBetween val="midCat"/>
      </c:valAx>
      <c:valAx>
        <c:axId val="576194400"/>
        <c:scaling>
          <c:orientation val="minMax"/>
          <c:max val="50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92760"/>
        <c:crosses val="autoZero"/>
        <c:crossBetween val="midCat"/>
      </c:valAx>
      <c:valAx>
        <c:axId val="439416696"/>
        <c:scaling>
          <c:orientation val="minMax"/>
          <c:min val="-4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20304"/>
        <c:crosses val="max"/>
        <c:crossBetween val="midCat"/>
      </c:valAx>
      <c:valAx>
        <c:axId val="439420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416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758224765600024"/>
          <c:y val="9.4742360003324824E-2"/>
          <c:w val="0.28922335630816559"/>
          <c:h val="6.6141968110803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Personal Income Tax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'Narrative Shocks (Quarterly)'!$G$1</c:f>
              <c:strCache>
                <c:ptCount val="1"/>
                <c:pt idx="0">
                  <c:v>Average Tax Rate (left axis)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'Narrative Shocks (Quarterly)'!$A$2:$A$279</c:f>
              <c:numCache>
                <c:formatCode>General</c:formatCode>
                <c:ptCount val="278"/>
                <c:pt idx="0">
                  <c:v>1950</c:v>
                </c:pt>
                <c:pt idx="1">
                  <c:v>1950.25</c:v>
                </c:pt>
                <c:pt idx="2">
                  <c:v>1950.5</c:v>
                </c:pt>
                <c:pt idx="3">
                  <c:v>1950.75</c:v>
                </c:pt>
                <c:pt idx="4">
                  <c:v>1951</c:v>
                </c:pt>
                <c:pt idx="5">
                  <c:v>1951.25</c:v>
                </c:pt>
                <c:pt idx="6">
                  <c:v>1951.5</c:v>
                </c:pt>
                <c:pt idx="7">
                  <c:v>1951.75</c:v>
                </c:pt>
                <c:pt idx="8">
                  <c:v>1952</c:v>
                </c:pt>
                <c:pt idx="9">
                  <c:v>1952.25</c:v>
                </c:pt>
                <c:pt idx="10">
                  <c:v>1952.5</c:v>
                </c:pt>
                <c:pt idx="11">
                  <c:v>1952.75</c:v>
                </c:pt>
                <c:pt idx="12">
                  <c:v>1953</c:v>
                </c:pt>
                <c:pt idx="13">
                  <c:v>1953.25</c:v>
                </c:pt>
                <c:pt idx="14">
                  <c:v>1953.5</c:v>
                </c:pt>
                <c:pt idx="15">
                  <c:v>1953.75</c:v>
                </c:pt>
                <c:pt idx="16">
                  <c:v>1954</c:v>
                </c:pt>
                <c:pt idx="17">
                  <c:v>1954.25</c:v>
                </c:pt>
                <c:pt idx="18">
                  <c:v>1954.5</c:v>
                </c:pt>
                <c:pt idx="19">
                  <c:v>1954.75</c:v>
                </c:pt>
                <c:pt idx="20">
                  <c:v>1955</c:v>
                </c:pt>
                <c:pt idx="21">
                  <c:v>1955.25</c:v>
                </c:pt>
                <c:pt idx="22">
                  <c:v>1955.5</c:v>
                </c:pt>
                <c:pt idx="23">
                  <c:v>1955.75</c:v>
                </c:pt>
                <c:pt idx="24">
                  <c:v>1956</c:v>
                </c:pt>
                <c:pt idx="25">
                  <c:v>1956.25</c:v>
                </c:pt>
                <c:pt idx="26">
                  <c:v>1956.5</c:v>
                </c:pt>
                <c:pt idx="27">
                  <c:v>1956.75</c:v>
                </c:pt>
                <c:pt idx="28">
                  <c:v>1957</c:v>
                </c:pt>
                <c:pt idx="29">
                  <c:v>1957.25</c:v>
                </c:pt>
                <c:pt idx="30">
                  <c:v>1957.5</c:v>
                </c:pt>
                <c:pt idx="31">
                  <c:v>1957.75</c:v>
                </c:pt>
                <c:pt idx="32">
                  <c:v>1958</c:v>
                </c:pt>
                <c:pt idx="33">
                  <c:v>1958.25</c:v>
                </c:pt>
                <c:pt idx="34">
                  <c:v>1958.5</c:v>
                </c:pt>
                <c:pt idx="35">
                  <c:v>1958.75</c:v>
                </c:pt>
                <c:pt idx="36">
                  <c:v>1959</c:v>
                </c:pt>
                <c:pt idx="37">
                  <c:v>1959.25</c:v>
                </c:pt>
                <c:pt idx="38">
                  <c:v>1959.5</c:v>
                </c:pt>
                <c:pt idx="39">
                  <c:v>1959.75</c:v>
                </c:pt>
                <c:pt idx="40">
                  <c:v>1960</c:v>
                </c:pt>
                <c:pt idx="41">
                  <c:v>1960.25</c:v>
                </c:pt>
                <c:pt idx="42">
                  <c:v>1960.5</c:v>
                </c:pt>
                <c:pt idx="43">
                  <c:v>1960.75</c:v>
                </c:pt>
                <c:pt idx="44">
                  <c:v>1961</c:v>
                </c:pt>
                <c:pt idx="45">
                  <c:v>1961.25</c:v>
                </c:pt>
                <c:pt idx="46">
                  <c:v>1961.5</c:v>
                </c:pt>
                <c:pt idx="47">
                  <c:v>1961.75</c:v>
                </c:pt>
                <c:pt idx="48">
                  <c:v>1962</c:v>
                </c:pt>
                <c:pt idx="49">
                  <c:v>1962.25</c:v>
                </c:pt>
                <c:pt idx="50">
                  <c:v>1962.5</c:v>
                </c:pt>
                <c:pt idx="51">
                  <c:v>1962.75</c:v>
                </c:pt>
                <c:pt idx="52">
                  <c:v>1963</c:v>
                </c:pt>
                <c:pt idx="53">
                  <c:v>1963.25</c:v>
                </c:pt>
                <c:pt idx="54">
                  <c:v>1963.5</c:v>
                </c:pt>
                <c:pt idx="55">
                  <c:v>1963.75</c:v>
                </c:pt>
                <c:pt idx="56">
                  <c:v>1964</c:v>
                </c:pt>
                <c:pt idx="57">
                  <c:v>1964.25</c:v>
                </c:pt>
                <c:pt idx="58">
                  <c:v>1964.5</c:v>
                </c:pt>
                <c:pt idx="59">
                  <c:v>1964.75</c:v>
                </c:pt>
                <c:pt idx="60">
                  <c:v>1965</c:v>
                </c:pt>
                <c:pt idx="61">
                  <c:v>1965.25</c:v>
                </c:pt>
                <c:pt idx="62">
                  <c:v>1965.5</c:v>
                </c:pt>
                <c:pt idx="63">
                  <c:v>1965.75</c:v>
                </c:pt>
                <c:pt idx="64">
                  <c:v>1966</c:v>
                </c:pt>
                <c:pt idx="65">
                  <c:v>1966.25</c:v>
                </c:pt>
                <c:pt idx="66">
                  <c:v>1966.5</c:v>
                </c:pt>
                <c:pt idx="67">
                  <c:v>1966.75</c:v>
                </c:pt>
                <c:pt idx="68">
                  <c:v>1967</c:v>
                </c:pt>
                <c:pt idx="69">
                  <c:v>1967.25</c:v>
                </c:pt>
                <c:pt idx="70">
                  <c:v>1967.5</c:v>
                </c:pt>
                <c:pt idx="71">
                  <c:v>1967.75</c:v>
                </c:pt>
                <c:pt idx="72">
                  <c:v>1968</c:v>
                </c:pt>
                <c:pt idx="73">
                  <c:v>1968.25</c:v>
                </c:pt>
                <c:pt idx="74">
                  <c:v>1968.5</c:v>
                </c:pt>
                <c:pt idx="75">
                  <c:v>1968.75</c:v>
                </c:pt>
                <c:pt idx="76">
                  <c:v>1969</c:v>
                </c:pt>
                <c:pt idx="77">
                  <c:v>1969.25</c:v>
                </c:pt>
                <c:pt idx="78">
                  <c:v>1969.5</c:v>
                </c:pt>
                <c:pt idx="79">
                  <c:v>1969.75</c:v>
                </c:pt>
                <c:pt idx="80">
                  <c:v>1970</c:v>
                </c:pt>
                <c:pt idx="81">
                  <c:v>1970.25</c:v>
                </c:pt>
                <c:pt idx="82">
                  <c:v>1970.5</c:v>
                </c:pt>
                <c:pt idx="83">
                  <c:v>1970.75</c:v>
                </c:pt>
                <c:pt idx="84">
                  <c:v>1971</c:v>
                </c:pt>
                <c:pt idx="85">
                  <c:v>1971.25</c:v>
                </c:pt>
                <c:pt idx="86">
                  <c:v>1971.5</c:v>
                </c:pt>
                <c:pt idx="87">
                  <c:v>1971.75</c:v>
                </c:pt>
                <c:pt idx="88">
                  <c:v>1972</c:v>
                </c:pt>
                <c:pt idx="89">
                  <c:v>1972.25</c:v>
                </c:pt>
                <c:pt idx="90">
                  <c:v>1972.5</c:v>
                </c:pt>
                <c:pt idx="91">
                  <c:v>1972.75</c:v>
                </c:pt>
                <c:pt idx="92">
                  <c:v>1973</c:v>
                </c:pt>
                <c:pt idx="93">
                  <c:v>1973.25</c:v>
                </c:pt>
                <c:pt idx="94">
                  <c:v>1973.5</c:v>
                </c:pt>
                <c:pt idx="95">
                  <c:v>1973.75</c:v>
                </c:pt>
                <c:pt idx="96">
                  <c:v>1974</c:v>
                </c:pt>
                <c:pt idx="97">
                  <c:v>1974.25</c:v>
                </c:pt>
                <c:pt idx="98">
                  <c:v>1974.5</c:v>
                </c:pt>
                <c:pt idx="99">
                  <c:v>1974.75</c:v>
                </c:pt>
                <c:pt idx="100">
                  <c:v>1975</c:v>
                </c:pt>
                <c:pt idx="101">
                  <c:v>1975.25</c:v>
                </c:pt>
                <c:pt idx="102">
                  <c:v>1975.5</c:v>
                </c:pt>
                <c:pt idx="103">
                  <c:v>1975.75</c:v>
                </c:pt>
                <c:pt idx="104">
                  <c:v>1976</c:v>
                </c:pt>
                <c:pt idx="105">
                  <c:v>1976.25</c:v>
                </c:pt>
                <c:pt idx="106">
                  <c:v>1976.5</c:v>
                </c:pt>
                <c:pt idx="107">
                  <c:v>1976.75</c:v>
                </c:pt>
                <c:pt idx="108">
                  <c:v>1977</c:v>
                </c:pt>
                <c:pt idx="109">
                  <c:v>1977.25</c:v>
                </c:pt>
                <c:pt idx="110">
                  <c:v>1977.5</c:v>
                </c:pt>
                <c:pt idx="111">
                  <c:v>1977.75</c:v>
                </c:pt>
                <c:pt idx="112">
                  <c:v>1978</c:v>
                </c:pt>
                <c:pt idx="113">
                  <c:v>1978.25</c:v>
                </c:pt>
                <c:pt idx="114">
                  <c:v>1978.5</c:v>
                </c:pt>
                <c:pt idx="115">
                  <c:v>1978.75</c:v>
                </c:pt>
                <c:pt idx="116">
                  <c:v>1979</c:v>
                </c:pt>
                <c:pt idx="117">
                  <c:v>1979.25</c:v>
                </c:pt>
                <c:pt idx="118">
                  <c:v>1979.5</c:v>
                </c:pt>
                <c:pt idx="119">
                  <c:v>1979.75</c:v>
                </c:pt>
                <c:pt idx="120">
                  <c:v>1980</c:v>
                </c:pt>
                <c:pt idx="121">
                  <c:v>1980.25</c:v>
                </c:pt>
                <c:pt idx="122">
                  <c:v>1980.5</c:v>
                </c:pt>
                <c:pt idx="123">
                  <c:v>1980.75</c:v>
                </c:pt>
                <c:pt idx="124">
                  <c:v>1981</c:v>
                </c:pt>
                <c:pt idx="125">
                  <c:v>1981.25</c:v>
                </c:pt>
                <c:pt idx="126">
                  <c:v>1981.5</c:v>
                </c:pt>
                <c:pt idx="127">
                  <c:v>1981.75</c:v>
                </c:pt>
                <c:pt idx="128">
                  <c:v>1982</c:v>
                </c:pt>
                <c:pt idx="129">
                  <c:v>1982.25</c:v>
                </c:pt>
                <c:pt idx="130">
                  <c:v>1982.5</c:v>
                </c:pt>
                <c:pt idx="131">
                  <c:v>1982.75</c:v>
                </c:pt>
                <c:pt idx="132">
                  <c:v>1983</c:v>
                </c:pt>
                <c:pt idx="133">
                  <c:v>1983.25</c:v>
                </c:pt>
                <c:pt idx="134">
                  <c:v>1983.5</c:v>
                </c:pt>
                <c:pt idx="135">
                  <c:v>1983.75</c:v>
                </c:pt>
                <c:pt idx="136">
                  <c:v>1984</c:v>
                </c:pt>
                <c:pt idx="137">
                  <c:v>1984.25</c:v>
                </c:pt>
                <c:pt idx="138">
                  <c:v>1984.5</c:v>
                </c:pt>
                <c:pt idx="139">
                  <c:v>1984.75</c:v>
                </c:pt>
                <c:pt idx="140">
                  <c:v>1985</c:v>
                </c:pt>
                <c:pt idx="141">
                  <c:v>1985.25</c:v>
                </c:pt>
                <c:pt idx="142">
                  <c:v>1985.5</c:v>
                </c:pt>
                <c:pt idx="143">
                  <c:v>1985.75</c:v>
                </c:pt>
                <c:pt idx="144">
                  <c:v>1986</c:v>
                </c:pt>
                <c:pt idx="145">
                  <c:v>1986.25</c:v>
                </c:pt>
                <c:pt idx="146">
                  <c:v>1986.5</c:v>
                </c:pt>
                <c:pt idx="147">
                  <c:v>1986.75</c:v>
                </c:pt>
                <c:pt idx="148">
                  <c:v>1987</c:v>
                </c:pt>
                <c:pt idx="149">
                  <c:v>1987.25</c:v>
                </c:pt>
                <c:pt idx="150">
                  <c:v>1987.5</c:v>
                </c:pt>
                <c:pt idx="151">
                  <c:v>1987.75</c:v>
                </c:pt>
                <c:pt idx="152">
                  <c:v>1988</c:v>
                </c:pt>
                <c:pt idx="153">
                  <c:v>1988.25</c:v>
                </c:pt>
                <c:pt idx="154">
                  <c:v>1988.5</c:v>
                </c:pt>
                <c:pt idx="155">
                  <c:v>1988.75</c:v>
                </c:pt>
                <c:pt idx="156">
                  <c:v>1989</c:v>
                </c:pt>
                <c:pt idx="157">
                  <c:v>1989.25</c:v>
                </c:pt>
                <c:pt idx="158">
                  <c:v>1989.5</c:v>
                </c:pt>
                <c:pt idx="159">
                  <c:v>1989.75</c:v>
                </c:pt>
                <c:pt idx="160">
                  <c:v>1990</c:v>
                </c:pt>
                <c:pt idx="161">
                  <c:v>1990.25</c:v>
                </c:pt>
                <c:pt idx="162">
                  <c:v>1990.5</c:v>
                </c:pt>
                <c:pt idx="163">
                  <c:v>1990.75</c:v>
                </c:pt>
                <c:pt idx="164">
                  <c:v>1991</c:v>
                </c:pt>
                <c:pt idx="165">
                  <c:v>1991.25</c:v>
                </c:pt>
                <c:pt idx="166">
                  <c:v>1991.5</c:v>
                </c:pt>
                <c:pt idx="167">
                  <c:v>1991.75</c:v>
                </c:pt>
                <c:pt idx="168">
                  <c:v>1992</c:v>
                </c:pt>
                <c:pt idx="169">
                  <c:v>1992.25</c:v>
                </c:pt>
                <c:pt idx="170">
                  <c:v>1992.5</c:v>
                </c:pt>
                <c:pt idx="171">
                  <c:v>1992.75</c:v>
                </c:pt>
                <c:pt idx="172">
                  <c:v>1993</c:v>
                </c:pt>
                <c:pt idx="173">
                  <c:v>1993.25</c:v>
                </c:pt>
                <c:pt idx="174">
                  <c:v>1993.5</c:v>
                </c:pt>
                <c:pt idx="175">
                  <c:v>1993.75</c:v>
                </c:pt>
                <c:pt idx="176">
                  <c:v>1994</c:v>
                </c:pt>
                <c:pt idx="177">
                  <c:v>1994.25</c:v>
                </c:pt>
                <c:pt idx="178">
                  <c:v>1994.5</c:v>
                </c:pt>
                <c:pt idx="179">
                  <c:v>1994.75</c:v>
                </c:pt>
                <c:pt idx="180">
                  <c:v>1995</c:v>
                </c:pt>
                <c:pt idx="181">
                  <c:v>1995.25</c:v>
                </c:pt>
                <c:pt idx="182">
                  <c:v>1995.5</c:v>
                </c:pt>
                <c:pt idx="183">
                  <c:v>1995.75</c:v>
                </c:pt>
                <c:pt idx="184">
                  <c:v>1996</c:v>
                </c:pt>
                <c:pt idx="185">
                  <c:v>1996.25</c:v>
                </c:pt>
                <c:pt idx="186">
                  <c:v>1996.5</c:v>
                </c:pt>
                <c:pt idx="187">
                  <c:v>1996.75</c:v>
                </c:pt>
                <c:pt idx="188">
                  <c:v>1997</c:v>
                </c:pt>
                <c:pt idx="189">
                  <c:v>1997.25</c:v>
                </c:pt>
                <c:pt idx="190">
                  <c:v>1997.5</c:v>
                </c:pt>
                <c:pt idx="191">
                  <c:v>1997.75</c:v>
                </c:pt>
                <c:pt idx="192">
                  <c:v>1998</c:v>
                </c:pt>
                <c:pt idx="193">
                  <c:v>1998.25</c:v>
                </c:pt>
                <c:pt idx="194">
                  <c:v>1998.5</c:v>
                </c:pt>
                <c:pt idx="195">
                  <c:v>1998.75</c:v>
                </c:pt>
                <c:pt idx="196">
                  <c:v>1999</c:v>
                </c:pt>
                <c:pt idx="197">
                  <c:v>1999.25</c:v>
                </c:pt>
                <c:pt idx="198">
                  <c:v>1999.5</c:v>
                </c:pt>
                <c:pt idx="199">
                  <c:v>1999.75</c:v>
                </c:pt>
                <c:pt idx="200">
                  <c:v>2000</c:v>
                </c:pt>
                <c:pt idx="201">
                  <c:v>2000.25</c:v>
                </c:pt>
                <c:pt idx="202">
                  <c:v>2000.5</c:v>
                </c:pt>
                <c:pt idx="203">
                  <c:v>2000.75</c:v>
                </c:pt>
                <c:pt idx="204">
                  <c:v>2001</c:v>
                </c:pt>
                <c:pt idx="205">
                  <c:v>2001.25</c:v>
                </c:pt>
                <c:pt idx="206">
                  <c:v>2001.5</c:v>
                </c:pt>
                <c:pt idx="207">
                  <c:v>2001.75</c:v>
                </c:pt>
                <c:pt idx="208">
                  <c:v>2002</c:v>
                </c:pt>
                <c:pt idx="209">
                  <c:v>2002.25</c:v>
                </c:pt>
                <c:pt idx="210">
                  <c:v>2002.5</c:v>
                </c:pt>
                <c:pt idx="211">
                  <c:v>2002.75</c:v>
                </c:pt>
                <c:pt idx="212">
                  <c:v>2003</c:v>
                </c:pt>
                <c:pt idx="213">
                  <c:v>2003.25</c:v>
                </c:pt>
                <c:pt idx="214">
                  <c:v>2003.5</c:v>
                </c:pt>
                <c:pt idx="215">
                  <c:v>2003.75</c:v>
                </c:pt>
                <c:pt idx="216">
                  <c:v>2004</c:v>
                </c:pt>
                <c:pt idx="217">
                  <c:v>2004.25</c:v>
                </c:pt>
                <c:pt idx="218">
                  <c:v>2004.5</c:v>
                </c:pt>
                <c:pt idx="219">
                  <c:v>2004.75</c:v>
                </c:pt>
                <c:pt idx="220">
                  <c:v>2005</c:v>
                </c:pt>
                <c:pt idx="221">
                  <c:v>2005.25</c:v>
                </c:pt>
                <c:pt idx="222">
                  <c:v>2005.5</c:v>
                </c:pt>
                <c:pt idx="223">
                  <c:v>2005.75</c:v>
                </c:pt>
                <c:pt idx="224">
                  <c:v>2006</c:v>
                </c:pt>
                <c:pt idx="225">
                  <c:v>2006.25</c:v>
                </c:pt>
                <c:pt idx="226">
                  <c:v>2006.5</c:v>
                </c:pt>
                <c:pt idx="227">
                  <c:v>2006.75</c:v>
                </c:pt>
                <c:pt idx="228">
                  <c:v>2007</c:v>
                </c:pt>
                <c:pt idx="229">
                  <c:v>2007.25</c:v>
                </c:pt>
                <c:pt idx="230">
                  <c:v>2007.5</c:v>
                </c:pt>
                <c:pt idx="231">
                  <c:v>2007.75</c:v>
                </c:pt>
                <c:pt idx="232">
                  <c:v>2008</c:v>
                </c:pt>
                <c:pt idx="233">
                  <c:v>2008.25</c:v>
                </c:pt>
                <c:pt idx="234">
                  <c:v>2008.5</c:v>
                </c:pt>
                <c:pt idx="235">
                  <c:v>2008.75</c:v>
                </c:pt>
                <c:pt idx="236">
                  <c:v>2009</c:v>
                </c:pt>
                <c:pt idx="237">
                  <c:v>2009.25</c:v>
                </c:pt>
                <c:pt idx="238">
                  <c:v>2009.5</c:v>
                </c:pt>
                <c:pt idx="239">
                  <c:v>2009.75</c:v>
                </c:pt>
                <c:pt idx="240">
                  <c:v>2010</c:v>
                </c:pt>
                <c:pt idx="241">
                  <c:v>2010.25</c:v>
                </c:pt>
                <c:pt idx="242">
                  <c:v>2010.5</c:v>
                </c:pt>
                <c:pt idx="243">
                  <c:v>2010.75</c:v>
                </c:pt>
                <c:pt idx="244">
                  <c:v>2011</c:v>
                </c:pt>
                <c:pt idx="245">
                  <c:v>2011.25</c:v>
                </c:pt>
                <c:pt idx="246">
                  <c:v>2011.5</c:v>
                </c:pt>
                <c:pt idx="247">
                  <c:v>2011.75</c:v>
                </c:pt>
                <c:pt idx="248">
                  <c:v>2012</c:v>
                </c:pt>
                <c:pt idx="249">
                  <c:v>2012.25</c:v>
                </c:pt>
                <c:pt idx="250">
                  <c:v>2012.5</c:v>
                </c:pt>
                <c:pt idx="251">
                  <c:v>2012.75</c:v>
                </c:pt>
                <c:pt idx="252">
                  <c:v>2013</c:v>
                </c:pt>
                <c:pt idx="253">
                  <c:v>2013.25</c:v>
                </c:pt>
                <c:pt idx="254">
                  <c:v>2013.5</c:v>
                </c:pt>
                <c:pt idx="255">
                  <c:v>2013.75</c:v>
                </c:pt>
                <c:pt idx="256">
                  <c:v>2014</c:v>
                </c:pt>
                <c:pt idx="257">
                  <c:v>2014.25</c:v>
                </c:pt>
                <c:pt idx="258">
                  <c:v>2014.5</c:v>
                </c:pt>
                <c:pt idx="259">
                  <c:v>2014.75</c:v>
                </c:pt>
                <c:pt idx="260">
                  <c:v>2015</c:v>
                </c:pt>
                <c:pt idx="261">
                  <c:v>2015.25</c:v>
                </c:pt>
                <c:pt idx="262">
                  <c:v>2015.5</c:v>
                </c:pt>
                <c:pt idx="263">
                  <c:v>2015.75</c:v>
                </c:pt>
                <c:pt idx="264">
                  <c:v>2016</c:v>
                </c:pt>
                <c:pt idx="265">
                  <c:v>2016.25</c:v>
                </c:pt>
                <c:pt idx="266">
                  <c:v>2016.5</c:v>
                </c:pt>
                <c:pt idx="267">
                  <c:v>2016.75</c:v>
                </c:pt>
                <c:pt idx="268">
                  <c:v>2017</c:v>
                </c:pt>
                <c:pt idx="269">
                  <c:v>2017.25</c:v>
                </c:pt>
                <c:pt idx="270">
                  <c:v>2017.5</c:v>
                </c:pt>
                <c:pt idx="271">
                  <c:v>2017.75</c:v>
                </c:pt>
                <c:pt idx="272">
                  <c:v>2018</c:v>
                </c:pt>
                <c:pt idx="273">
                  <c:v>2018.25</c:v>
                </c:pt>
                <c:pt idx="274">
                  <c:v>2018.5</c:v>
                </c:pt>
                <c:pt idx="275">
                  <c:v>2018.75</c:v>
                </c:pt>
                <c:pt idx="276">
                  <c:v>2019</c:v>
                </c:pt>
                <c:pt idx="277">
                  <c:v>2019.25</c:v>
                </c:pt>
              </c:numCache>
            </c:numRef>
          </c:xVal>
          <c:yVal>
            <c:numRef>
              <c:f>'Narrative Shocks (Quarterly)'!$G$2:$G$279</c:f>
              <c:numCache>
                <c:formatCode>0.0000</c:formatCode>
                <c:ptCount val="278"/>
                <c:pt idx="0">
                  <c:v>12.842556914918852</c:v>
                </c:pt>
                <c:pt idx="1">
                  <c:v>12.793590554501369</c:v>
                </c:pt>
                <c:pt idx="2">
                  <c:v>11.979693378099592</c:v>
                </c:pt>
                <c:pt idx="3">
                  <c:v>12.156540368183743</c:v>
                </c:pt>
                <c:pt idx="4">
                  <c:v>11.963601671727371</c:v>
                </c:pt>
                <c:pt idx="5">
                  <c:v>10.452225272910828</c:v>
                </c:pt>
                <c:pt idx="6">
                  <c:v>9.8793595893718695</c:v>
                </c:pt>
                <c:pt idx="7">
                  <c:v>9.8944984204565785</c:v>
                </c:pt>
                <c:pt idx="8">
                  <c:v>10.115883654131864</c:v>
                </c:pt>
                <c:pt idx="9">
                  <c:v>9.7294171734071444</c:v>
                </c:pt>
                <c:pt idx="10">
                  <c:v>9.2827846452894569</c:v>
                </c:pt>
                <c:pt idx="11">
                  <c:v>8.9062989063937561</c:v>
                </c:pt>
                <c:pt idx="12">
                  <c:v>8.9483916578296228</c:v>
                </c:pt>
                <c:pt idx="13">
                  <c:v>9.3172394405790993</c:v>
                </c:pt>
                <c:pt idx="14">
                  <c:v>9.6178937558247899</c:v>
                </c:pt>
                <c:pt idx="15">
                  <c:v>10.860120214295048</c:v>
                </c:pt>
                <c:pt idx="16">
                  <c:v>11.473990713779807</c:v>
                </c:pt>
                <c:pt idx="17">
                  <c:v>11.844520711948279</c:v>
                </c:pt>
                <c:pt idx="18">
                  <c:v>12.111471586406923</c:v>
                </c:pt>
                <c:pt idx="19">
                  <c:v>12.618922504235094</c:v>
                </c:pt>
                <c:pt idx="20">
                  <c:v>13.028831430196439</c:v>
                </c:pt>
                <c:pt idx="21">
                  <c:v>13.124416013800042</c:v>
                </c:pt>
                <c:pt idx="22">
                  <c:v>12.97580704515107</c:v>
                </c:pt>
                <c:pt idx="23">
                  <c:v>13.004476625302694</c:v>
                </c:pt>
                <c:pt idx="24">
                  <c:v>12.911845980990556</c:v>
                </c:pt>
                <c:pt idx="25">
                  <c:v>12.773866066254106</c:v>
                </c:pt>
                <c:pt idx="26">
                  <c:v>12.692574231035769</c:v>
                </c:pt>
                <c:pt idx="27">
                  <c:v>12.563135519810226</c:v>
                </c:pt>
                <c:pt idx="28">
                  <c:v>11.958937383174456</c:v>
                </c:pt>
                <c:pt idx="29">
                  <c:v>11.873367645440082</c:v>
                </c:pt>
                <c:pt idx="30">
                  <c:v>11.803183081883342</c:v>
                </c:pt>
                <c:pt idx="31">
                  <c:v>11.77309351346952</c:v>
                </c:pt>
                <c:pt idx="32">
                  <c:v>11.990494872653622</c:v>
                </c:pt>
                <c:pt idx="33">
                  <c:v>12.076247430386845</c:v>
                </c:pt>
                <c:pt idx="34">
                  <c:v>12.121618042384259</c:v>
                </c:pt>
                <c:pt idx="35">
                  <c:v>12.205584783488467</c:v>
                </c:pt>
                <c:pt idx="36">
                  <c:v>12.450181867527279</c:v>
                </c:pt>
                <c:pt idx="37">
                  <c:v>12.521244815684909</c:v>
                </c:pt>
                <c:pt idx="38">
                  <c:v>12.51931684771897</c:v>
                </c:pt>
                <c:pt idx="39">
                  <c:v>12.55510117372139</c:v>
                </c:pt>
                <c:pt idx="40">
                  <c:v>12.891902408331884</c:v>
                </c:pt>
                <c:pt idx="41">
                  <c:v>12.833210754269839</c:v>
                </c:pt>
                <c:pt idx="42">
                  <c:v>12.750787642024436</c:v>
                </c:pt>
                <c:pt idx="43">
                  <c:v>12.627502171110475</c:v>
                </c:pt>
                <c:pt idx="44">
                  <c:v>12.41428348263584</c:v>
                </c:pt>
                <c:pt idx="45">
                  <c:v>12.181181834722951</c:v>
                </c:pt>
                <c:pt idx="46">
                  <c:v>12.256771202233066</c:v>
                </c:pt>
                <c:pt idx="47">
                  <c:v>12.206488110111879</c:v>
                </c:pt>
                <c:pt idx="48">
                  <c:v>12.793542819432457</c:v>
                </c:pt>
                <c:pt idx="49">
                  <c:v>12.870964775588215</c:v>
                </c:pt>
                <c:pt idx="50">
                  <c:v>12.886265537714245</c:v>
                </c:pt>
                <c:pt idx="51">
                  <c:v>12.964005390296979</c:v>
                </c:pt>
                <c:pt idx="52">
                  <c:v>13.708355434164323</c:v>
                </c:pt>
                <c:pt idx="53">
                  <c:v>13.711668006345098</c:v>
                </c:pt>
                <c:pt idx="54">
                  <c:v>13.736907216494847</c:v>
                </c:pt>
                <c:pt idx="55">
                  <c:v>13.632328280669451</c:v>
                </c:pt>
                <c:pt idx="56">
                  <c:v>13.580866832184935</c:v>
                </c:pt>
                <c:pt idx="57">
                  <c:v>13.496617595834786</c:v>
                </c:pt>
                <c:pt idx="58">
                  <c:v>13.378375940392212</c:v>
                </c:pt>
                <c:pt idx="59">
                  <c:v>13.306243906537057</c:v>
                </c:pt>
                <c:pt idx="60">
                  <c:v>13.697192680723219</c:v>
                </c:pt>
                <c:pt idx="61">
                  <c:v>13.825816818425279</c:v>
                </c:pt>
                <c:pt idx="62">
                  <c:v>13.966578790533132</c:v>
                </c:pt>
                <c:pt idx="63">
                  <c:v>14.042799015421711</c:v>
                </c:pt>
                <c:pt idx="64">
                  <c:v>14.397940431449809</c:v>
                </c:pt>
                <c:pt idx="65">
                  <c:v>14.32885974797664</c:v>
                </c:pt>
                <c:pt idx="66">
                  <c:v>14.178685525268882</c:v>
                </c:pt>
                <c:pt idx="67">
                  <c:v>14.06864299302473</c:v>
                </c:pt>
                <c:pt idx="68">
                  <c:v>13.491083289409447</c:v>
                </c:pt>
                <c:pt idx="69">
                  <c:v>12.476865159933608</c:v>
                </c:pt>
                <c:pt idx="70">
                  <c:v>12.601798327712777</c:v>
                </c:pt>
                <c:pt idx="71">
                  <c:v>12.711617315435747</c:v>
                </c:pt>
                <c:pt idx="72">
                  <c:v>13.141067372654543</c:v>
                </c:pt>
                <c:pt idx="73">
                  <c:v>13.209519272473887</c:v>
                </c:pt>
                <c:pt idx="74">
                  <c:v>12.684357600005548</c:v>
                </c:pt>
                <c:pt idx="75">
                  <c:v>12.664936261919124</c:v>
                </c:pt>
                <c:pt idx="76">
                  <c:v>13.927328035614472</c:v>
                </c:pt>
                <c:pt idx="77">
                  <c:v>14.364018805206843</c:v>
                </c:pt>
                <c:pt idx="78">
                  <c:v>14.525437726330988</c:v>
                </c:pt>
                <c:pt idx="79">
                  <c:v>14.624796365376017</c:v>
                </c:pt>
                <c:pt idx="80">
                  <c:v>14.701989401949586</c:v>
                </c:pt>
                <c:pt idx="81">
                  <c:v>14.652437967392395</c:v>
                </c:pt>
                <c:pt idx="82">
                  <c:v>14.816888405786313</c:v>
                </c:pt>
                <c:pt idx="83">
                  <c:v>14.930310579735179</c:v>
                </c:pt>
                <c:pt idx="84">
                  <c:v>15.017978187035775</c:v>
                </c:pt>
                <c:pt idx="85">
                  <c:v>15.074624179590865</c:v>
                </c:pt>
                <c:pt idx="86">
                  <c:v>16.072310286677908</c:v>
                </c:pt>
                <c:pt idx="87">
                  <c:v>16.26615130345705</c:v>
                </c:pt>
                <c:pt idx="88">
                  <c:v>17.177526483832629</c:v>
                </c:pt>
                <c:pt idx="89">
                  <c:v>17.203425203324016</c:v>
                </c:pt>
                <c:pt idx="90">
                  <c:v>16.554565627468062</c:v>
                </c:pt>
                <c:pt idx="91">
                  <c:v>16.469108326479269</c:v>
                </c:pt>
                <c:pt idx="92">
                  <c:v>16.093786568552559</c:v>
                </c:pt>
                <c:pt idx="93">
                  <c:v>15.876618544426254</c:v>
                </c:pt>
                <c:pt idx="94">
                  <c:v>15.08667751255032</c:v>
                </c:pt>
                <c:pt idx="95">
                  <c:v>14.995632120435792</c:v>
                </c:pt>
                <c:pt idx="96">
                  <c:v>14.713072076967087</c:v>
                </c:pt>
                <c:pt idx="97">
                  <c:v>14.560807020874503</c:v>
                </c:pt>
                <c:pt idx="98">
                  <c:v>14.495146714269774</c:v>
                </c:pt>
                <c:pt idx="99">
                  <c:v>14.47513812154696</c:v>
                </c:pt>
                <c:pt idx="100">
                  <c:v>15.93125056383985</c:v>
                </c:pt>
                <c:pt idx="101">
                  <c:v>15.923360735322674</c:v>
                </c:pt>
                <c:pt idx="102">
                  <c:v>15.650215508872755</c:v>
                </c:pt>
                <c:pt idx="103">
                  <c:v>15.253637688035809</c:v>
                </c:pt>
                <c:pt idx="104">
                  <c:v>16.136216905295246</c:v>
                </c:pt>
                <c:pt idx="105">
                  <c:v>16.012659353163951</c:v>
                </c:pt>
                <c:pt idx="106">
                  <c:v>16.097261737116696</c:v>
                </c:pt>
                <c:pt idx="107">
                  <c:v>16.124851867747186</c:v>
                </c:pt>
                <c:pt idx="108">
                  <c:v>16.65789711367081</c:v>
                </c:pt>
                <c:pt idx="109">
                  <c:v>16.860588196647385</c:v>
                </c:pt>
                <c:pt idx="110">
                  <c:v>16.895726269440907</c:v>
                </c:pt>
                <c:pt idx="111">
                  <c:v>16.699526206509884</c:v>
                </c:pt>
                <c:pt idx="112">
                  <c:v>16.545840406182542</c:v>
                </c:pt>
                <c:pt idx="113">
                  <c:v>13.395409476612183</c:v>
                </c:pt>
                <c:pt idx="114">
                  <c:v>15.403057242884488</c:v>
                </c:pt>
                <c:pt idx="115">
                  <c:v>15.481202722136549</c:v>
                </c:pt>
                <c:pt idx="116">
                  <c:v>15.791837584033654</c:v>
                </c:pt>
                <c:pt idx="117">
                  <c:v>16.00278416133553</c:v>
                </c:pt>
                <c:pt idx="118">
                  <c:v>16.101494546515479</c:v>
                </c:pt>
                <c:pt idx="119">
                  <c:v>16.175581532952251</c:v>
                </c:pt>
                <c:pt idx="120">
                  <c:v>16.492805325230016</c:v>
                </c:pt>
                <c:pt idx="121">
                  <c:v>16.555573994455674</c:v>
                </c:pt>
                <c:pt idx="122">
                  <c:v>16.337376054091557</c:v>
                </c:pt>
                <c:pt idx="123">
                  <c:v>16.394567377094848</c:v>
                </c:pt>
                <c:pt idx="124">
                  <c:v>16.538869929654616</c:v>
                </c:pt>
                <c:pt idx="125">
                  <c:v>16.789030752408564</c:v>
                </c:pt>
                <c:pt idx="126">
                  <c:v>17.185280839983768</c:v>
                </c:pt>
                <c:pt idx="127">
                  <c:v>17.484994552817117</c:v>
                </c:pt>
                <c:pt idx="128">
                  <c:v>17.641808252185118</c:v>
                </c:pt>
                <c:pt idx="129">
                  <c:v>17.913025792860211</c:v>
                </c:pt>
                <c:pt idx="130">
                  <c:v>18.043110595257836</c:v>
                </c:pt>
                <c:pt idx="131">
                  <c:v>18.162773221209481</c:v>
                </c:pt>
                <c:pt idx="132">
                  <c:v>17.768957361366304</c:v>
                </c:pt>
                <c:pt idx="133">
                  <c:v>17.808683958088505</c:v>
                </c:pt>
                <c:pt idx="134">
                  <c:v>17.710428649533402</c:v>
                </c:pt>
                <c:pt idx="135">
                  <c:v>17.845447011537601</c:v>
                </c:pt>
                <c:pt idx="136">
                  <c:v>18.513167177516753</c:v>
                </c:pt>
                <c:pt idx="137">
                  <c:v>18.702909010647296</c:v>
                </c:pt>
                <c:pt idx="138">
                  <c:v>18.647343394852708</c:v>
                </c:pt>
                <c:pt idx="139">
                  <c:v>18.306716550387684</c:v>
                </c:pt>
                <c:pt idx="140">
                  <c:v>18.227145453652305</c:v>
                </c:pt>
                <c:pt idx="141">
                  <c:v>18.240352171965188</c:v>
                </c:pt>
                <c:pt idx="142">
                  <c:v>17.635720655310568</c:v>
                </c:pt>
                <c:pt idx="143">
                  <c:v>17.622392030838871</c:v>
                </c:pt>
                <c:pt idx="144">
                  <c:v>17.439502641233108</c:v>
                </c:pt>
                <c:pt idx="145">
                  <c:v>17.476582845978719</c:v>
                </c:pt>
                <c:pt idx="146">
                  <c:v>16.688369198043706</c:v>
                </c:pt>
                <c:pt idx="147">
                  <c:v>16.671339810980488</c:v>
                </c:pt>
                <c:pt idx="148">
                  <c:v>16.761105635856381</c:v>
                </c:pt>
                <c:pt idx="149">
                  <c:v>16.715064827996258</c:v>
                </c:pt>
                <c:pt idx="150">
                  <c:v>16.872062624068317</c:v>
                </c:pt>
                <c:pt idx="151">
                  <c:v>17.025288912528406</c:v>
                </c:pt>
                <c:pt idx="152">
                  <c:v>18.019069249749524</c:v>
                </c:pt>
                <c:pt idx="153">
                  <c:v>16.625723537612227</c:v>
                </c:pt>
                <c:pt idx="154">
                  <c:v>17.451733310754079</c:v>
                </c:pt>
                <c:pt idx="155">
                  <c:v>17.463020092141562</c:v>
                </c:pt>
                <c:pt idx="156">
                  <c:v>17.260272553292836</c:v>
                </c:pt>
                <c:pt idx="157">
                  <c:v>17.230379303139177</c:v>
                </c:pt>
                <c:pt idx="158">
                  <c:v>17.335926799523254</c:v>
                </c:pt>
                <c:pt idx="159">
                  <c:v>17.608610270789921</c:v>
                </c:pt>
                <c:pt idx="160">
                  <c:v>17.311512040101775</c:v>
                </c:pt>
                <c:pt idx="161">
                  <c:v>18.460791128262557</c:v>
                </c:pt>
                <c:pt idx="162">
                  <c:v>17.858387492585017</c:v>
                </c:pt>
                <c:pt idx="163">
                  <c:v>17.935491705765163</c:v>
                </c:pt>
                <c:pt idx="164">
                  <c:v>17.923130410454892</c:v>
                </c:pt>
                <c:pt idx="165">
                  <c:v>17.724585795763538</c:v>
                </c:pt>
                <c:pt idx="166">
                  <c:v>17.532869333751243</c:v>
                </c:pt>
                <c:pt idx="167">
                  <c:v>17.520050862382579</c:v>
                </c:pt>
                <c:pt idx="168">
                  <c:v>17.825427485303813</c:v>
                </c:pt>
                <c:pt idx="169">
                  <c:v>17.901052321717994</c:v>
                </c:pt>
                <c:pt idx="170">
                  <c:v>17.967874381897651</c:v>
                </c:pt>
                <c:pt idx="171">
                  <c:v>18.020229237595096</c:v>
                </c:pt>
                <c:pt idx="172">
                  <c:v>17.748550954260768</c:v>
                </c:pt>
                <c:pt idx="173">
                  <c:v>17.73815508735791</c:v>
                </c:pt>
                <c:pt idx="174">
                  <c:v>17.774744162211537</c:v>
                </c:pt>
                <c:pt idx="175">
                  <c:v>17.737182850315875</c:v>
                </c:pt>
                <c:pt idx="176">
                  <c:v>17.417761599625997</c:v>
                </c:pt>
                <c:pt idx="177">
                  <c:v>17.365921567742902</c:v>
                </c:pt>
                <c:pt idx="178">
                  <c:v>17.344475801864355</c:v>
                </c:pt>
                <c:pt idx="179">
                  <c:v>17.268566439337725</c:v>
                </c:pt>
                <c:pt idx="180">
                  <c:v>16.971326340776894</c:v>
                </c:pt>
                <c:pt idx="181">
                  <c:v>16.929399736948696</c:v>
                </c:pt>
                <c:pt idx="182">
                  <c:v>16.956815935862434</c:v>
                </c:pt>
                <c:pt idx="183">
                  <c:v>16.978199787822636</c:v>
                </c:pt>
                <c:pt idx="184">
                  <c:v>16.909984748298367</c:v>
                </c:pt>
                <c:pt idx="185">
                  <c:v>17.130245974810059</c:v>
                </c:pt>
                <c:pt idx="186">
                  <c:v>17.263811061178085</c:v>
                </c:pt>
                <c:pt idx="187">
                  <c:v>17.333814314850571</c:v>
                </c:pt>
                <c:pt idx="188">
                  <c:v>17.39380692104853</c:v>
                </c:pt>
                <c:pt idx="189">
                  <c:v>17.698214485343453</c:v>
                </c:pt>
                <c:pt idx="190">
                  <c:v>17.40798039868038</c:v>
                </c:pt>
                <c:pt idx="191">
                  <c:v>17.36799217784948</c:v>
                </c:pt>
                <c:pt idx="192">
                  <c:v>17.459506760561876</c:v>
                </c:pt>
                <c:pt idx="193">
                  <c:v>17.768052691445639</c:v>
                </c:pt>
                <c:pt idx="194">
                  <c:v>17.591903260789881</c:v>
                </c:pt>
                <c:pt idx="195">
                  <c:v>17.717951560594535</c:v>
                </c:pt>
                <c:pt idx="196">
                  <c:v>17.889591494510398</c:v>
                </c:pt>
                <c:pt idx="197">
                  <c:v>18.235053864405284</c:v>
                </c:pt>
                <c:pt idx="198">
                  <c:v>18.152924246188551</c:v>
                </c:pt>
                <c:pt idx="199">
                  <c:v>18.247625177540538</c:v>
                </c:pt>
                <c:pt idx="200">
                  <c:v>18.552168241548639</c:v>
                </c:pt>
                <c:pt idx="201">
                  <c:v>18.658910395847499</c:v>
                </c:pt>
                <c:pt idx="202">
                  <c:v>18.736610610268865</c:v>
                </c:pt>
                <c:pt idx="203">
                  <c:v>18.841719120805386</c:v>
                </c:pt>
                <c:pt idx="204">
                  <c:v>18.83573219723397</c:v>
                </c:pt>
                <c:pt idx="205">
                  <c:v>18.914402530970225</c:v>
                </c:pt>
                <c:pt idx="206">
                  <c:v>19.049434224608834</c:v>
                </c:pt>
                <c:pt idx="207">
                  <c:v>19.203893810599258</c:v>
                </c:pt>
                <c:pt idx="208">
                  <c:v>19.214058644614369</c:v>
                </c:pt>
                <c:pt idx="209">
                  <c:v>19.333481342569144</c:v>
                </c:pt>
                <c:pt idx="210">
                  <c:v>19.376416031831575</c:v>
                </c:pt>
                <c:pt idx="211">
                  <c:v>19.452831724437765</c:v>
                </c:pt>
                <c:pt idx="212">
                  <c:v>19.691126276023379</c:v>
                </c:pt>
                <c:pt idx="213">
                  <c:v>19.506716847452754</c:v>
                </c:pt>
                <c:pt idx="214">
                  <c:v>19.569005550973635</c:v>
                </c:pt>
                <c:pt idx="215">
                  <c:v>19.547324381922586</c:v>
                </c:pt>
                <c:pt idx="216">
                  <c:v>19.653461945181309</c:v>
                </c:pt>
                <c:pt idx="217">
                  <c:v>19.580908648665048</c:v>
                </c:pt>
                <c:pt idx="218">
                  <c:v>17.758708660162327</c:v>
                </c:pt>
                <c:pt idx="219">
                  <c:v>19.143354292895339</c:v>
                </c:pt>
                <c:pt idx="220">
                  <c:v>17.43073310849633</c:v>
                </c:pt>
                <c:pt idx="221">
                  <c:v>17.205223273626768</c:v>
                </c:pt>
                <c:pt idx="222">
                  <c:v>17.016861893935047</c:v>
                </c:pt>
                <c:pt idx="223">
                  <c:v>16.820068511558144</c:v>
                </c:pt>
                <c:pt idx="224">
                  <c:v>16.629096341979967</c:v>
                </c:pt>
                <c:pt idx="225">
                  <c:v>16.631570884250333</c:v>
                </c:pt>
                <c:pt idx="226">
                  <c:v>15.480332931128382</c:v>
                </c:pt>
                <c:pt idx="227">
                  <c:v>16.045695619622872</c:v>
                </c:pt>
                <c:pt idx="228">
                  <c:v>15.920633750304061</c:v>
                </c:pt>
                <c:pt idx="229">
                  <c:v>15.982760445632657</c:v>
                </c:pt>
                <c:pt idx="230">
                  <c:v>16.139396172020167</c:v>
                </c:pt>
                <c:pt idx="231">
                  <c:v>15.975747226678983</c:v>
                </c:pt>
                <c:pt idx="232">
                  <c:v>16.777375463961015</c:v>
                </c:pt>
                <c:pt idx="233">
                  <c:v>16.803070901930059</c:v>
                </c:pt>
                <c:pt idx="234">
                  <c:v>16.887625603905196</c:v>
                </c:pt>
                <c:pt idx="235">
                  <c:v>16.891365979642217</c:v>
                </c:pt>
                <c:pt idx="236">
                  <c:v>17.13597434237122</c:v>
                </c:pt>
                <c:pt idx="237">
                  <c:v>17.090179111255466</c:v>
                </c:pt>
                <c:pt idx="238">
                  <c:v>17.161258221537619</c:v>
                </c:pt>
                <c:pt idx="239">
                  <c:v>17.364800270124984</c:v>
                </c:pt>
                <c:pt idx="240">
                  <c:v>17.610386877685887</c:v>
                </c:pt>
                <c:pt idx="241">
                  <c:v>17.535751576776203</c:v>
                </c:pt>
                <c:pt idx="242">
                  <c:v>17.575912439844981</c:v>
                </c:pt>
                <c:pt idx="243">
                  <c:v>17.602226654130291</c:v>
                </c:pt>
                <c:pt idx="244">
                  <c:v>17.56859307813604</c:v>
                </c:pt>
                <c:pt idx="245">
                  <c:v>17.039965580132392</c:v>
                </c:pt>
                <c:pt idx="246">
                  <c:v>17.159920554087591</c:v>
                </c:pt>
                <c:pt idx="247">
                  <c:v>17.042360192923184</c:v>
                </c:pt>
                <c:pt idx="248">
                  <c:v>15.44563816891964</c:v>
                </c:pt>
                <c:pt idx="249">
                  <c:v>14.917217802025776</c:v>
                </c:pt>
                <c:pt idx="250">
                  <c:v>14.852889176055564</c:v>
                </c:pt>
                <c:pt idx="251">
                  <c:v>14.792103438564824</c:v>
                </c:pt>
                <c:pt idx="252">
                  <c:v>15.088170012067012</c:v>
                </c:pt>
                <c:pt idx="253">
                  <c:v>15.161933933126729</c:v>
                </c:pt>
                <c:pt idx="254">
                  <c:v>15.204303101675878</c:v>
                </c:pt>
                <c:pt idx="255">
                  <c:v>15.19018833918684</c:v>
                </c:pt>
                <c:pt idx="256">
                  <c:v>15.219505508850711</c:v>
                </c:pt>
                <c:pt idx="257">
                  <c:v>15.23275992022646</c:v>
                </c:pt>
                <c:pt idx="258">
                  <c:v>15.276969425380912</c:v>
                </c:pt>
                <c:pt idx="259">
                  <c:v>15.131029291517375</c:v>
                </c:pt>
                <c:pt idx="260">
                  <c:v>14.950889135462948</c:v>
                </c:pt>
                <c:pt idx="261">
                  <c:v>14.902048406022484</c:v>
                </c:pt>
                <c:pt idx="262">
                  <c:v>15.042578451104111</c:v>
                </c:pt>
                <c:pt idx="263">
                  <c:v>15.032908002012976</c:v>
                </c:pt>
                <c:pt idx="264">
                  <c:v>16.740152364833342</c:v>
                </c:pt>
                <c:pt idx="265">
                  <c:v>16.830145933358001</c:v>
                </c:pt>
                <c:pt idx="266">
                  <c:v>16.826436607873546</c:v>
                </c:pt>
                <c:pt idx="267">
                  <c:v>16.940178053736503</c:v>
                </c:pt>
                <c:pt idx="268">
                  <c:v>17.028613305742375</c:v>
                </c:pt>
                <c:pt idx="269">
                  <c:v>16.906606834961934</c:v>
                </c:pt>
                <c:pt idx="270">
                  <c:v>16.891429284414052</c:v>
                </c:pt>
                <c:pt idx="271">
                  <c:v>16.974939371343449</c:v>
                </c:pt>
                <c:pt idx="272">
                  <c:v>17.286995109155011</c:v>
                </c:pt>
                <c:pt idx="273">
                  <c:v>17.324241104965211</c:v>
                </c:pt>
                <c:pt idx="274">
                  <c:v>17.341064270619359</c:v>
                </c:pt>
                <c:pt idx="275">
                  <c:v>17.362776320660263</c:v>
                </c:pt>
                <c:pt idx="276">
                  <c:v>17.164199497430079</c:v>
                </c:pt>
                <c:pt idx="277">
                  <c:v>17.173914551435249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48-4E7D-80DB-42C38D100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014096"/>
        <c:axId val="431014752"/>
      </c:scatterChart>
      <c:scatterChart>
        <c:scatterStyle val="lineMarker"/>
        <c:varyColors val="0"/>
        <c:ser>
          <c:idx val="0"/>
          <c:order val="0"/>
          <c:tx>
            <c:strRef>
              <c:f>'Narrative Shocks (Quarterly)'!$B$1</c:f>
              <c:strCache>
                <c:ptCount val="1"/>
                <c:pt idx="0">
                  <c:v>Narrative PI Shocks (T_PI, right axis)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'Narrative Shocks (Quarterly)'!$A$2:$A$279</c:f>
              <c:numCache>
                <c:formatCode>General</c:formatCode>
                <c:ptCount val="278"/>
                <c:pt idx="0">
                  <c:v>1950</c:v>
                </c:pt>
                <c:pt idx="1">
                  <c:v>1950.25</c:v>
                </c:pt>
                <c:pt idx="2">
                  <c:v>1950.5</c:v>
                </c:pt>
                <c:pt idx="3">
                  <c:v>1950.75</c:v>
                </c:pt>
                <c:pt idx="4">
                  <c:v>1951</c:v>
                </c:pt>
                <c:pt idx="5">
                  <c:v>1951.25</c:v>
                </c:pt>
                <c:pt idx="6">
                  <c:v>1951.5</c:v>
                </c:pt>
                <c:pt idx="7">
                  <c:v>1951.75</c:v>
                </c:pt>
                <c:pt idx="8">
                  <c:v>1952</c:v>
                </c:pt>
                <c:pt idx="9">
                  <c:v>1952.25</c:v>
                </c:pt>
                <c:pt idx="10">
                  <c:v>1952.5</c:v>
                </c:pt>
                <c:pt idx="11">
                  <c:v>1952.75</c:v>
                </c:pt>
                <c:pt idx="12">
                  <c:v>1953</c:v>
                </c:pt>
                <c:pt idx="13">
                  <c:v>1953.25</c:v>
                </c:pt>
                <c:pt idx="14">
                  <c:v>1953.5</c:v>
                </c:pt>
                <c:pt idx="15">
                  <c:v>1953.75</c:v>
                </c:pt>
                <c:pt idx="16">
                  <c:v>1954</c:v>
                </c:pt>
                <c:pt idx="17">
                  <c:v>1954.25</c:v>
                </c:pt>
                <c:pt idx="18">
                  <c:v>1954.5</c:v>
                </c:pt>
                <c:pt idx="19">
                  <c:v>1954.75</c:v>
                </c:pt>
                <c:pt idx="20">
                  <c:v>1955</c:v>
                </c:pt>
                <c:pt idx="21">
                  <c:v>1955.25</c:v>
                </c:pt>
                <c:pt idx="22">
                  <c:v>1955.5</c:v>
                </c:pt>
                <c:pt idx="23">
                  <c:v>1955.75</c:v>
                </c:pt>
                <c:pt idx="24">
                  <c:v>1956</c:v>
                </c:pt>
                <c:pt idx="25">
                  <c:v>1956.25</c:v>
                </c:pt>
                <c:pt idx="26">
                  <c:v>1956.5</c:v>
                </c:pt>
                <c:pt idx="27">
                  <c:v>1956.75</c:v>
                </c:pt>
                <c:pt idx="28">
                  <c:v>1957</c:v>
                </c:pt>
                <c:pt idx="29">
                  <c:v>1957.25</c:v>
                </c:pt>
                <c:pt idx="30">
                  <c:v>1957.5</c:v>
                </c:pt>
                <c:pt idx="31">
                  <c:v>1957.75</c:v>
                </c:pt>
                <c:pt idx="32">
                  <c:v>1958</c:v>
                </c:pt>
                <c:pt idx="33">
                  <c:v>1958.25</c:v>
                </c:pt>
                <c:pt idx="34">
                  <c:v>1958.5</c:v>
                </c:pt>
                <c:pt idx="35">
                  <c:v>1958.75</c:v>
                </c:pt>
                <c:pt idx="36">
                  <c:v>1959</c:v>
                </c:pt>
                <c:pt idx="37">
                  <c:v>1959.25</c:v>
                </c:pt>
                <c:pt idx="38">
                  <c:v>1959.5</c:v>
                </c:pt>
                <c:pt idx="39">
                  <c:v>1959.75</c:v>
                </c:pt>
                <c:pt idx="40">
                  <c:v>1960</c:v>
                </c:pt>
                <c:pt idx="41">
                  <c:v>1960.25</c:v>
                </c:pt>
                <c:pt idx="42">
                  <c:v>1960.5</c:v>
                </c:pt>
                <c:pt idx="43">
                  <c:v>1960.75</c:v>
                </c:pt>
                <c:pt idx="44">
                  <c:v>1961</c:v>
                </c:pt>
                <c:pt idx="45">
                  <c:v>1961.25</c:v>
                </c:pt>
                <c:pt idx="46">
                  <c:v>1961.5</c:v>
                </c:pt>
                <c:pt idx="47">
                  <c:v>1961.75</c:v>
                </c:pt>
                <c:pt idx="48">
                  <c:v>1962</c:v>
                </c:pt>
                <c:pt idx="49">
                  <c:v>1962.25</c:v>
                </c:pt>
                <c:pt idx="50">
                  <c:v>1962.5</c:v>
                </c:pt>
                <c:pt idx="51">
                  <c:v>1962.75</c:v>
                </c:pt>
                <c:pt idx="52">
                  <c:v>1963</c:v>
                </c:pt>
                <c:pt idx="53">
                  <c:v>1963.25</c:v>
                </c:pt>
                <c:pt idx="54">
                  <c:v>1963.5</c:v>
                </c:pt>
                <c:pt idx="55">
                  <c:v>1963.75</c:v>
                </c:pt>
                <c:pt idx="56">
                  <c:v>1964</c:v>
                </c:pt>
                <c:pt idx="57">
                  <c:v>1964.25</c:v>
                </c:pt>
                <c:pt idx="58">
                  <c:v>1964.5</c:v>
                </c:pt>
                <c:pt idx="59">
                  <c:v>1964.75</c:v>
                </c:pt>
                <c:pt idx="60">
                  <c:v>1965</c:v>
                </c:pt>
                <c:pt idx="61">
                  <c:v>1965.25</c:v>
                </c:pt>
                <c:pt idx="62">
                  <c:v>1965.5</c:v>
                </c:pt>
                <c:pt idx="63">
                  <c:v>1965.75</c:v>
                </c:pt>
                <c:pt idx="64">
                  <c:v>1966</c:v>
                </c:pt>
                <c:pt idx="65">
                  <c:v>1966.25</c:v>
                </c:pt>
                <c:pt idx="66">
                  <c:v>1966.5</c:v>
                </c:pt>
                <c:pt idx="67">
                  <c:v>1966.75</c:v>
                </c:pt>
                <c:pt idx="68">
                  <c:v>1967</c:v>
                </c:pt>
                <c:pt idx="69">
                  <c:v>1967.25</c:v>
                </c:pt>
                <c:pt idx="70">
                  <c:v>1967.5</c:v>
                </c:pt>
                <c:pt idx="71">
                  <c:v>1967.75</c:v>
                </c:pt>
                <c:pt idx="72">
                  <c:v>1968</c:v>
                </c:pt>
                <c:pt idx="73">
                  <c:v>1968.25</c:v>
                </c:pt>
                <c:pt idx="74">
                  <c:v>1968.5</c:v>
                </c:pt>
                <c:pt idx="75">
                  <c:v>1968.75</c:v>
                </c:pt>
                <c:pt idx="76">
                  <c:v>1969</c:v>
                </c:pt>
                <c:pt idx="77">
                  <c:v>1969.25</c:v>
                </c:pt>
                <c:pt idx="78">
                  <c:v>1969.5</c:v>
                </c:pt>
                <c:pt idx="79">
                  <c:v>1969.75</c:v>
                </c:pt>
                <c:pt idx="80">
                  <c:v>1970</c:v>
                </c:pt>
                <c:pt idx="81">
                  <c:v>1970.25</c:v>
                </c:pt>
                <c:pt idx="82">
                  <c:v>1970.5</c:v>
                </c:pt>
                <c:pt idx="83">
                  <c:v>1970.75</c:v>
                </c:pt>
                <c:pt idx="84">
                  <c:v>1971</c:v>
                </c:pt>
                <c:pt idx="85">
                  <c:v>1971.25</c:v>
                </c:pt>
                <c:pt idx="86">
                  <c:v>1971.5</c:v>
                </c:pt>
                <c:pt idx="87">
                  <c:v>1971.75</c:v>
                </c:pt>
                <c:pt idx="88">
                  <c:v>1972</c:v>
                </c:pt>
                <c:pt idx="89">
                  <c:v>1972.25</c:v>
                </c:pt>
                <c:pt idx="90">
                  <c:v>1972.5</c:v>
                </c:pt>
                <c:pt idx="91">
                  <c:v>1972.75</c:v>
                </c:pt>
                <c:pt idx="92">
                  <c:v>1973</c:v>
                </c:pt>
                <c:pt idx="93">
                  <c:v>1973.25</c:v>
                </c:pt>
                <c:pt idx="94">
                  <c:v>1973.5</c:v>
                </c:pt>
                <c:pt idx="95">
                  <c:v>1973.75</c:v>
                </c:pt>
                <c:pt idx="96">
                  <c:v>1974</c:v>
                </c:pt>
                <c:pt idx="97">
                  <c:v>1974.25</c:v>
                </c:pt>
                <c:pt idx="98">
                  <c:v>1974.5</c:v>
                </c:pt>
                <c:pt idx="99">
                  <c:v>1974.75</c:v>
                </c:pt>
                <c:pt idx="100">
                  <c:v>1975</c:v>
                </c:pt>
                <c:pt idx="101">
                  <c:v>1975.25</c:v>
                </c:pt>
                <c:pt idx="102">
                  <c:v>1975.5</c:v>
                </c:pt>
                <c:pt idx="103">
                  <c:v>1975.75</c:v>
                </c:pt>
                <c:pt idx="104">
                  <c:v>1976</c:v>
                </c:pt>
                <c:pt idx="105">
                  <c:v>1976.25</c:v>
                </c:pt>
                <c:pt idx="106">
                  <c:v>1976.5</c:v>
                </c:pt>
                <c:pt idx="107">
                  <c:v>1976.75</c:v>
                </c:pt>
                <c:pt idx="108">
                  <c:v>1977</c:v>
                </c:pt>
                <c:pt idx="109">
                  <c:v>1977.25</c:v>
                </c:pt>
                <c:pt idx="110">
                  <c:v>1977.5</c:v>
                </c:pt>
                <c:pt idx="111">
                  <c:v>1977.75</c:v>
                </c:pt>
                <c:pt idx="112">
                  <c:v>1978</c:v>
                </c:pt>
                <c:pt idx="113">
                  <c:v>1978.25</c:v>
                </c:pt>
                <c:pt idx="114">
                  <c:v>1978.5</c:v>
                </c:pt>
                <c:pt idx="115">
                  <c:v>1978.75</c:v>
                </c:pt>
                <c:pt idx="116">
                  <c:v>1979</c:v>
                </c:pt>
                <c:pt idx="117">
                  <c:v>1979.25</c:v>
                </c:pt>
                <c:pt idx="118">
                  <c:v>1979.5</c:v>
                </c:pt>
                <c:pt idx="119">
                  <c:v>1979.75</c:v>
                </c:pt>
                <c:pt idx="120">
                  <c:v>1980</c:v>
                </c:pt>
                <c:pt idx="121">
                  <c:v>1980.25</c:v>
                </c:pt>
                <c:pt idx="122">
                  <c:v>1980.5</c:v>
                </c:pt>
                <c:pt idx="123">
                  <c:v>1980.75</c:v>
                </c:pt>
                <c:pt idx="124">
                  <c:v>1981</c:v>
                </c:pt>
                <c:pt idx="125">
                  <c:v>1981.25</c:v>
                </c:pt>
                <c:pt idx="126">
                  <c:v>1981.5</c:v>
                </c:pt>
                <c:pt idx="127">
                  <c:v>1981.75</c:v>
                </c:pt>
                <c:pt idx="128">
                  <c:v>1982</c:v>
                </c:pt>
                <c:pt idx="129">
                  <c:v>1982.25</c:v>
                </c:pt>
                <c:pt idx="130">
                  <c:v>1982.5</c:v>
                </c:pt>
                <c:pt idx="131">
                  <c:v>1982.75</c:v>
                </c:pt>
                <c:pt idx="132">
                  <c:v>1983</c:v>
                </c:pt>
                <c:pt idx="133">
                  <c:v>1983.25</c:v>
                </c:pt>
                <c:pt idx="134">
                  <c:v>1983.5</c:v>
                </c:pt>
                <c:pt idx="135">
                  <c:v>1983.75</c:v>
                </c:pt>
                <c:pt idx="136">
                  <c:v>1984</c:v>
                </c:pt>
                <c:pt idx="137">
                  <c:v>1984.25</c:v>
                </c:pt>
                <c:pt idx="138">
                  <c:v>1984.5</c:v>
                </c:pt>
                <c:pt idx="139">
                  <c:v>1984.75</c:v>
                </c:pt>
                <c:pt idx="140">
                  <c:v>1985</c:v>
                </c:pt>
                <c:pt idx="141">
                  <c:v>1985.25</c:v>
                </c:pt>
                <c:pt idx="142">
                  <c:v>1985.5</c:v>
                </c:pt>
                <c:pt idx="143">
                  <c:v>1985.75</c:v>
                </c:pt>
                <c:pt idx="144">
                  <c:v>1986</c:v>
                </c:pt>
                <c:pt idx="145">
                  <c:v>1986.25</c:v>
                </c:pt>
                <c:pt idx="146">
                  <c:v>1986.5</c:v>
                </c:pt>
                <c:pt idx="147">
                  <c:v>1986.75</c:v>
                </c:pt>
                <c:pt idx="148">
                  <c:v>1987</c:v>
                </c:pt>
                <c:pt idx="149">
                  <c:v>1987.25</c:v>
                </c:pt>
                <c:pt idx="150">
                  <c:v>1987.5</c:v>
                </c:pt>
                <c:pt idx="151">
                  <c:v>1987.75</c:v>
                </c:pt>
                <c:pt idx="152">
                  <c:v>1988</c:v>
                </c:pt>
                <c:pt idx="153">
                  <c:v>1988.25</c:v>
                </c:pt>
                <c:pt idx="154">
                  <c:v>1988.5</c:v>
                </c:pt>
                <c:pt idx="155">
                  <c:v>1988.75</c:v>
                </c:pt>
                <c:pt idx="156">
                  <c:v>1989</c:v>
                </c:pt>
                <c:pt idx="157">
                  <c:v>1989.25</c:v>
                </c:pt>
                <c:pt idx="158">
                  <c:v>1989.5</c:v>
                </c:pt>
                <c:pt idx="159">
                  <c:v>1989.75</c:v>
                </c:pt>
                <c:pt idx="160">
                  <c:v>1990</c:v>
                </c:pt>
                <c:pt idx="161">
                  <c:v>1990.25</c:v>
                </c:pt>
                <c:pt idx="162">
                  <c:v>1990.5</c:v>
                </c:pt>
                <c:pt idx="163">
                  <c:v>1990.75</c:v>
                </c:pt>
                <c:pt idx="164">
                  <c:v>1991</c:v>
                </c:pt>
                <c:pt idx="165">
                  <c:v>1991.25</c:v>
                </c:pt>
                <c:pt idx="166">
                  <c:v>1991.5</c:v>
                </c:pt>
                <c:pt idx="167">
                  <c:v>1991.75</c:v>
                </c:pt>
                <c:pt idx="168">
                  <c:v>1992</c:v>
                </c:pt>
                <c:pt idx="169">
                  <c:v>1992.25</c:v>
                </c:pt>
                <c:pt idx="170">
                  <c:v>1992.5</c:v>
                </c:pt>
                <c:pt idx="171">
                  <c:v>1992.75</c:v>
                </c:pt>
                <c:pt idx="172">
                  <c:v>1993</c:v>
                </c:pt>
                <c:pt idx="173">
                  <c:v>1993.25</c:v>
                </c:pt>
                <c:pt idx="174">
                  <c:v>1993.5</c:v>
                </c:pt>
                <c:pt idx="175">
                  <c:v>1993.75</c:v>
                </c:pt>
                <c:pt idx="176">
                  <c:v>1994</c:v>
                </c:pt>
                <c:pt idx="177">
                  <c:v>1994.25</c:v>
                </c:pt>
                <c:pt idx="178">
                  <c:v>1994.5</c:v>
                </c:pt>
                <c:pt idx="179">
                  <c:v>1994.75</c:v>
                </c:pt>
                <c:pt idx="180">
                  <c:v>1995</c:v>
                </c:pt>
                <c:pt idx="181">
                  <c:v>1995.25</c:v>
                </c:pt>
                <c:pt idx="182">
                  <c:v>1995.5</c:v>
                </c:pt>
                <c:pt idx="183">
                  <c:v>1995.75</c:v>
                </c:pt>
                <c:pt idx="184">
                  <c:v>1996</c:v>
                </c:pt>
                <c:pt idx="185">
                  <c:v>1996.25</c:v>
                </c:pt>
                <c:pt idx="186">
                  <c:v>1996.5</c:v>
                </c:pt>
                <c:pt idx="187">
                  <c:v>1996.75</c:v>
                </c:pt>
                <c:pt idx="188">
                  <c:v>1997</c:v>
                </c:pt>
                <c:pt idx="189">
                  <c:v>1997.25</c:v>
                </c:pt>
                <c:pt idx="190">
                  <c:v>1997.5</c:v>
                </c:pt>
                <c:pt idx="191">
                  <c:v>1997.75</c:v>
                </c:pt>
                <c:pt idx="192">
                  <c:v>1998</c:v>
                </c:pt>
                <c:pt idx="193">
                  <c:v>1998.25</c:v>
                </c:pt>
                <c:pt idx="194">
                  <c:v>1998.5</c:v>
                </c:pt>
                <c:pt idx="195">
                  <c:v>1998.75</c:v>
                </c:pt>
                <c:pt idx="196">
                  <c:v>1999</c:v>
                </c:pt>
                <c:pt idx="197">
                  <c:v>1999.25</c:v>
                </c:pt>
                <c:pt idx="198">
                  <c:v>1999.5</c:v>
                </c:pt>
                <c:pt idx="199">
                  <c:v>1999.75</c:v>
                </c:pt>
                <c:pt idx="200">
                  <c:v>2000</c:v>
                </c:pt>
                <c:pt idx="201">
                  <c:v>2000.25</c:v>
                </c:pt>
                <c:pt idx="202">
                  <c:v>2000.5</c:v>
                </c:pt>
                <c:pt idx="203">
                  <c:v>2000.75</c:v>
                </c:pt>
                <c:pt idx="204">
                  <c:v>2001</c:v>
                </c:pt>
                <c:pt idx="205">
                  <c:v>2001.25</c:v>
                </c:pt>
                <c:pt idx="206">
                  <c:v>2001.5</c:v>
                </c:pt>
                <c:pt idx="207">
                  <c:v>2001.75</c:v>
                </c:pt>
                <c:pt idx="208">
                  <c:v>2002</c:v>
                </c:pt>
                <c:pt idx="209">
                  <c:v>2002.25</c:v>
                </c:pt>
                <c:pt idx="210">
                  <c:v>2002.5</c:v>
                </c:pt>
                <c:pt idx="211">
                  <c:v>2002.75</c:v>
                </c:pt>
                <c:pt idx="212">
                  <c:v>2003</c:v>
                </c:pt>
                <c:pt idx="213">
                  <c:v>2003.25</c:v>
                </c:pt>
                <c:pt idx="214">
                  <c:v>2003.5</c:v>
                </c:pt>
                <c:pt idx="215">
                  <c:v>2003.75</c:v>
                </c:pt>
                <c:pt idx="216">
                  <c:v>2004</c:v>
                </c:pt>
                <c:pt idx="217">
                  <c:v>2004.25</c:v>
                </c:pt>
                <c:pt idx="218">
                  <c:v>2004.5</c:v>
                </c:pt>
                <c:pt idx="219">
                  <c:v>2004.75</c:v>
                </c:pt>
                <c:pt idx="220">
                  <c:v>2005</c:v>
                </c:pt>
                <c:pt idx="221">
                  <c:v>2005.25</c:v>
                </c:pt>
                <c:pt idx="222">
                  <c:v>2005.5</c:v>
                </c:pt>
                <c:pt idx="223">
                  <c:v>2005.75</c:v>
                </c:pt>
                <c:pt idx="224">
                  <c:v>2006</c:v>
                </c:pt>
                <c:pt idx="225">
                  <c:v>2006.25</c:v>
                </c:pt>
                <c:pt idx="226">
                  <c:v>2006.5</c:v>
                </c:pt>
                <c:pt idx="227">
                  <c:v>2006.75</c:v>
                </c:pt>
                <c:pt idx="228">
                  <c:v>2007</c:v>
                </c:pt>
                <c:pt idx="229">
                  <c:v>2007.25</c:v>
                </c:pt>
                <c:pt idx="230">
                  <c:v>2007.5</c:v>
                </c:pt>
                <c:pt idx="231">
                  <c:v>2007.75</c:v>
                </c:pt>
                <c:pt idx="232">
                  <c:v>2008</c:v>
                </c:pt>
                <c:pt idx="233">
                  <c:v>2008.25</c:v>
                </c:pt>
                <c:pt idx="234">
                  <c:v>2008.5</c:v>
                </c:pt>
                <c:pt idx="235">
                  <c:v>2008.75</c:v>
                </c:pt>
                <c:pt idx="236">
                  <c:v>2009</c:v>
                </c:pt>
                <c:pt idx="237">
                  <c:v>2009.25</c:v>
                </c:pt>
                <c:pt idx="238">
                  <c:v>2009.5</c:v>
                </c:pt>
                <c:pt idx="239">
                  <c:v>2009.75</c:v>
                </c:pt>
                <c:pt idx="240">
                  <c:v>2010</c:v>
                </c:pt>
                <c:pt idx="241">
                  <c:v>2010.25</c:v>
                </c:pt>
                <c:pt idx="242">
                  <c:v>2010.5</c:v>
                </c:pt>
                <c:pt idx="243">
                  <c:v>2010.75</c:v>
                </c:pt>
                <c:pt idx="244">
                  <c:v>2011</c:v>
                </c:pt>
                <c:pt idx="245">
                  <c:v>2011.25</c:v>
                </c:pt>
                <c:pt idx="246">
                  <c:v>2011.5</c:v>
                </c:pt>
                <c:pt idx="247">
                  <c:v>2011.75</c:v>
                </c:pt>
                <c:pt idx="248">
                  <c:v>2012</c:v>
                </c:pt>
                <c:pt idx="249">
                  <c:v>2012.25</c:v>
                </c:pt>
                <c:pt idx="250">
                  <c:v>2012.5</c:v>
                </c:pt>
                <c:pt idx="251">
                  <c:v>2012.75</c:v>
                </c:pt>
                <c:pt idx="252">
                  <c:v>2013</c:v>
                </c:pt>
                <c:pt idx="253">
                  <c:v>2013.25</c:v>
                </c:pt>
                <c:pt idx="254">
                  <c:v>2013.5</c:v>
                </c:pt>
                <c:pt idx="255">
                  <c:v>2013.75</c:v>
                </c:pt>
                <c:pt idx="256">
                  <c:v>2014</c:v>
                </c:pt>
                <c:pt idx="257">
                  <c:v>2014.25</c:v>
                </c:pt>
                <c:pt idx="258">
                  <c:v>2014.5</c:v>
                </c:pt>
                <c:pt idx="259">
                  <c:v>2014.75</c:v>
                </c:pt>
                <c:pt idx="260">
                  <c:v>2015</c:v>
                </c:pt>
                <c:pt idx="261">
                  <c:v>2015.25</c:v>
                </c:pt>
                <c:pt idx="262">
                  <c:v>2015.5</c:v>
                </c:pt>
                <c:pt idx="263">
                  <c:v>2015.75</c:v>
                </c:pt>
                <c:pt idx="264">
                  <c:v>2016</c:v>
                </c:pt>
                <c:pt idx="265">
                  <c:v>2016.25</c:v>
                </c:pt>
                <c:pt idx="266">
                  <c:v>2016.5</c:v>
                </c:pt>
                <c:pt idx="267">
                  <c:v>2016.75</c:v>
                </c:pt>
                <c:pt idx="268">
                  <c:v>2017</c:v>
                </c:pt>
                <c:pt idx="269">
                  <c:v>2017.25</c:v>
                </c:pt>
                <c:pt idx="270">
                  <c:v>2017.5</c:v>
                </c:pt>
                <c:pt idx="271">
                  <c:v>2017.75</c:v>
                </c:pt>
                <c:pt idx="272">
                  <c:v>2018</c:v>
                </c:pt>
                <c:pt idx="273">
                  <c:v>2018.25</c:v>
                </c:pt>
                <c:pt idx="274">
                  <c:v>2018.5</c:v>
                </c:pt>
                <c:pt idx="275">
                  <c:v>2018.75</c:v>
                </c:pt>
                <c:pt idx="276">
                  <c:v>2019</c:v>
                </c:pt>
                <c:pt idx="277">
                  <c:v>2019.25</c:v>
                </c:pt>
              </c:numCache>
            </c:numRef>
          </c:xVal>
          <c:yVal>
            <c:numRef>
              <c:f>'Narrative Shocks (Quarterly)'!$B$2:$B$279</c:f>
              <c:numCache>
                <c:formatCode>0.0000</c:formatCode>
                <c:ptCount val="2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-0.28001400070003502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-1.3701431492842535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-0.42768711311198648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0.1172541216600341</c:v>
                </c:pt>
                <c:pt idx="108">
                  <c:v>0</c:v>
                </c:pt>
                <c:pt idx="109">
                  <c:v>0</c:v>
                </c:pt>
                <c:pt idx="110">
                  <c:v>-0.35361142033920506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-0.80469769464984797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-0.16525511258004549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0.18104813940706732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-0.19907100199070998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2.0476068594829793E-2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0.29668559803339833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0.43498998378326814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-1.0796252125583463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0.3214387468434472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-0.41474484300415587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48-4E7D-80DB-42C38D100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446544"/>
        <c:axId val="439443920"/>
      </c:scatterChart>
      <c:valAx>
        <c:axId val="431014096"/>
        <c:scaling>
          <c:orientation val="minMax"/>
          <c:max val="2020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014752"/>
        <c:crosses val="autoZero"/>
        <c:crossBetween val="midCat"/>
      </c:valAx>
      <c:valAx>
        <c:axId val="431014752"/>
        <c:scaling>
          <c:orientation val="minMax"/>
          <c:max val="22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014096"/>
        <c:crosses val="autoZero"/>
        <c:crossBetween val="midCat"/>
      </c:valAx>
      <c:valAx>
        <c:axId val="439443920"/>
        <c:scaling>
          <c:orientation val="minMax"/>
          <c:max val="0.5"/>
          <c:min val="-1.5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46544"/>
        <c:crosses val="max"/>
        <c:crossBetween val="midCat"/>
      </c:valAx>
      <c:valAx>
        <c:axId val="439446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44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80345870815898"/>
          <c:y val="0.81699549143142669"/>
          <c:w val="0.24721225224826182"/>
          <c:h val="6.2049107314887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6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020F3-DF80-43E4-A49D-8FC98336D7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59A7A-8C72-4DE8-82FD-DD363C8262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5" x14ac:dyDescent="0.35"/>
  <cols>
    <col min="3" max="3" width="46.453125" bestFit="1" customWidth="1"/>
    <col min="4" max="4" width="127.81640625" bestFit="1" customWidth="1"/>
  </cols>
  <sheetData>
    <row r="1" spans="1:4" x14ac:dyDescent="0.35">
      <c r="A1" s="8" t="s">
        <v>33</v>
      </c>
    </row>
    <row r="2" spans="1:4" x14ac:dyDescent="0.35">
      <c r="A2" s="19" t="s">
        <v>34</v>
      </c>
      <c r="B2" s="19"/>
      <c r="C2" s="19"/>
      <c r="D2" s="19"/>
    </row>
    <row r="4" spans="1:4" x14ac:dyDescent="0.35">
      <c r="A4" s="8" t="s">
        <v>7</v>
      </c>
      <c r="C4" s="8" t="s">
        <v>8</v>
      </c>
      <c r="D4" s="8" t="s">
        <v>9</v>
      </c>
    </row>
    <row r="5" spans="1:4" x14ac:dyDescent="0.35">
      <c r="A5" s="5" t="s">
        <v>2</v>
      </c>
      <c r="C5" t="s">
        <v>10</v>
      </c>
      <c r="D5" t="s">
        <v>11</v>
      </c>
    </row>
    <row r="6" spans="1:4" x14ac:dyDescent="0.35">
      <c r="A6" s="6" t="s">
        <v>6</v>
      </c>
      <c r="C6" t="s">
        <v>12</v>
      </c>
      <c r="D6" t="s">
        <v>13</v>
      </c>
    </row>
    <row r="7" spans="1:4" x14ac:dyDescent="0.35">
      <c r="A7" s="6" t="s">
        <v>14</v>
      </c>
      <c r="C7" t="s">
        <v>15</v>
      </c>
      <c r="D7" t="s">
        <v>16</v>
      </c>
    </row>
    <row r="8" spans="1:4" x14ac:dyDescent="0.35">
      <c r="A8" s="6" t="s">
        <v>3</v>
      </c>
      <c r="C8" t="s">
        <v>17</v>
      </c>
      <c r="D8" t="s">
        <v>18</v>
      </c>
    </row>
    <row r="9" spans="1:4" x14ac:dyDescent="0.35">
      <c r="A9" s="6" t="s">
        <v>4</v>
      </c>
      <c r="C9" t="s">
        <v>19</v>
      </c>
      <c r="D9" t="s">
        <v>20</v>
      </c>
    </row>
    <row r="10" spans="1:4" x14ac:dyDescent="0.35">
      <c r="A10" s="6" t="s">
        <v>0</v>
      </c>
      <c r="C10" t="s">
        <v>21</v>
      </c>
      <c r="D10" t="s">
        <v>22</v>
      </c>
    </row>
    <row r="11" spans="1:4" x14ac:dyDescent="0.35">
      <c r="A11" s="6" t="s">
        <v>1</v>
      </c>
      <c r="C11" t="s">
        <v>23</v>
      </c>
      <c r="D11" t="s">
        <v>24</v>
      </c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2" max="2" width="17.26953125" style="7" customWidth="1"/>
    <col min="3" max="3" width="16.7265625" style="7" customWidth="1"/>
    <col min="4" max="4" width="27" customWidth="1"/>
    <col min="5" max="5" width="26.26953125" customWidth="1"/>
    <col min="6" max="6" width="12.26953125" style="7" bestFit="1" customWidth="1"/>
    <col min="7" max="7" width="12.26953125" style="7" customWidth="1"/>
    <col min="8" max="8" width="12.26953125" style="7" bestFit="1" customWidth="1"/>
    <col min="9" max="9" width="12.26953125" style="7" customWidth="1"/>
    <col min="10" max="10" width="14.90625" style="7" bestFit="1" customWidth="1"/>
    <col min="11" max="12" width="14.90625" style="7" customWidth="1"/>
    <col min="13" max="13" width="14.90625" style="7" bestFit="1" customWidth="1"/>
    <col min="14" max="15" width="14.7265625" style="7" bestFit="1" customWidth="1"/>
  </cols>
  <sheetData>
    <row r="1" spans="1:15" s="11" customFormat="1" ht="87" x14ac:dyDescent="0.35">
      <c r="A1" s="11" t="s">
        <v>2</v>
      </c>
      <c r="B1" s="10" t="s">
        <v>35</v>
      </c>
      <c r="C1" s="10" t="s">
        <v>36</v>
      </c>
      <c r="D1" s="11" t="s">
        <v>27</v>
      </c>
      <c r="E1" s="11" t="s">
        <v>28</v>
      </c>
      <c r="F1" s="10" t="s">
        <v>0</v>
      </c>
      <c r="G1" s="10" t="s">
        <v>5</v>
      </c>
      <c r="H1" s="10" t="s">
        <v>1</v>
      </c>
      <c r="I1" s="10" t="s">
        <v>5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37</v>
      </c>
      <c r="O1" s="10" t="s">
        <v>38</v>
      </c>
    </row>
    <row r="2" spans="1:15" x14ac:dyDescent="0.35">
      <c r="A2">
        <v>1950</v>
      </c>
      <c r="B2" s="7">
        <v>0</v>
      </c>
      <c r="C2" s="7">
        <v>0</v>
      </c>
      <c r="D2" s="7">
        <v>0</v>
      </c>
      <c r="E2" s="7">
        <v>0</v>
      </c>
      <c r="F2" s="7">
        <f>DATA!E2</f>
        <v>0.12842556914918851</v>
      </c>
      <c r="G2" s="7">
        <f t="shared" ref="G2:G65" si="0">F2*100</f>
        <v>12.842556914918852</v>
      </c>
      <c r="H2" s="7">
        <f>DATA!F2</f>
        <v>0.32498655351700229</v>
      </c>
      <c r="I2" s="7">
        <f>H2*100</f>
        <v>32.498655351700229</v>
      </c>
      <c r="J2" s="7">
        <v>0</v>
      </c>
      <c r="K2" s="7">
        <v>0</v>
      </c>
      <c r="L2" s="7">
        <v>0</v>
      </c>
      <c r="M2" s="7">
        <v>0</v>
      </c>
      <c r="N2" s="7">
        <v>9.8162475822050288E-2</v>
      </c>
      <c r="O2" s="7">
        <v>0.4358108108108108</v>
      </c>
    </row>
    <row r="3" spans="1:15" x14ac:dyDescent="0.35">
      <c r="A3">
        <f>A2+0.25</f>
        <v>1950.25</v>
      </c>
      <c r="B3" s="7">
        <v>0</v>
      </c>
      <c r="C3" s="7">
        <v>0</v>
      </c>
      <c r="D3" s="7">
        <v>0</v>
      </c>
      <c r="E3" s="7">
        <v>0</v>
      </c>
      <c r="F3" s="7">
        <f>DATA!E3</f>
        <v>0.12793590554501369</v>
      </c>
      <c r="G3" s="7">
        <f t="shared" si="0"/>
        <v>12.793590554501369</v>
      </c>
      <c r="H3" s="7">
        <f>DATA!F3</f>
        <v>0.3251231527093596</v>
      </c>
      <c r="I3" s="7">
        <f t="shared" ref="I3:I66" si="1">H3*100</f>
        <v>32.512315270935957</v>
      </c>
      <c r="J3" s="7">
        <v>0</v>
      </c>
      <c r="K3" s="7">
        <v>0</v>
      </c>
      <c r="L3" s="7">
        <v>0</v>
      </c>
      <c r="M3" s="7">
        <v>0</v>
      </c>
      <c r="N3" s="7">
        <v>9.9019149929939293E-2</v>
      </c>
      <c r="O3" s="7">
        <v>0.46385542168674704</v>
      </c>
    </row>
    <row r="4" spans="1:15" x14ac:dyDescent="0.35">
      <c r="A4">
        <f t="shared" ref="A4:A67" si="2">A3+0.25</f>
        <v>1950.5</v>
      </c>
      <c r="B4" s="7">
        <v>0</v>
      </c>
      <c r="C4" s="7">
        <v>0</v>
      </c>
      <c r="D4" s="7">
        <v>0</v>
      </c>
      <c r="E4" s="7">
        <v>0</v>
      </c>
      <c r="F4" s="7">
        <f>DATA!E4</f>
        <v>0.11979693378099592</v>
      </c>
      <c r="G4" s="7">
        <f t="shared" si="0"/>
        <v>11.979693378099592</v>
      </c>
      <c r="H4" s="7">
        <f>DATA!F4</f>
        <v>0.32421375607261571</v>
      </c>
      <c r="I4" s="7">
        <f t="shared" si="1"/>
        <v>32.421375607261574</v>
      </c>
      <c r="J4" s="7">
        <v>0</v>
      </c>
      <c r="K4" s="7">
        <v>0</v>
      </c>
      <c r="L4" s="7">
        <v>0</v>
      </c>
      <c r="M4" s="7">
        <v>0</v>
      </c>
      <c r="N4" s="7">
        <v>0.10035366931918654</v>
      </c>
      <c r="O4" s="7">
        <v>0.49868073878627966</v>
      </c>
    </row>
    <row r="5" spans="1:15" x14ac:dyDescent="0.35">
      <c r="A5">
        <f t="shared" si="2"/>
        <v>1950.75</v>
      </c>
      <c r="B5" s="7">
        <v>0</v>
      </c>
      <c r="C5" s="7">
        <v>0</v>
      </c>
      <c r="D5" s="7">
        <v>0</v>
      </c>
      <c r="E5" s="7">
        <v>0</v>
      </c>
      <c r="F5" s="7">
        <f>DATA!E5</f>
        <v>0.12156540368183742</v>
      </c>
      <c r="G5" s="7">
        <f t="shared" si="0"/>
        <v>12.156540368183743</v>
      </c>
      <c r="H5" s="7">
        <f>DATA!F5</f>
        <v>0.32353544530082351</v>
      </c>
      <c r="I5" s="7">
        <f t="shared" si="1"/>
        <v>32.353544530082353</v>
      </c>
      <c r="J5" s="7">
        <v>0</v>
      </c>
      <c r="K5" s="7">
        <v>0</v>
      </c>
      <c r="L5" s="7">
        <v>0</v>
      </c>
      <c r="M5" s="7">
        <v>0</v>
      </c>
      <c r="N5" s="7">
        <v>0.11285532456512518</v>
      </c>
      <c r="O5" s="7">
        <v>0.5036496350364964</v>
      </c>
    </row>
    <row r="6" spans="1:15" x14ac:dyDescent="0.35">
      <c r="A6">
        <f t="shared" si="2"/>
        <v>1951</v>
      </c>
      <c r="B6" s="7">
        <v>0</v>
      </c>
      <c r="C6" s="7">
        <v>0</v>
      </c>
      <c r="D6" s="7">
        <v>0</v>
      </c>
      <c r="E6" s="7">
        <v>0</v>
      </c>
      <c r="F6" s="7">
        <f>DATA!E6</f>
        <v>0.11963601671727371</v>
      </c>
      <c r="G6" s="7">
        <f t="shared" si="0"/>
        <v>11.963601671727371</v>
      </c>
      <c r="H6" s="7">
        <f>DATA!F6</f>
        <v>0.31756511035891127</v>
      </c>
      <c r="I6" s="7">
        <f t="shared" si="1"/>
        <v>31.756511035891126</v>
      </c>
      <c r="J6" s="7">
        <v>0</v>
      </c>
      <c r="K6" s="7">
        <v>0</v>
      </c>
      <c r="L6" s="7">
        <v>0</v>
      </c>
      <c r="M6" s="7">
        <v>0</v>
      </c>
      <c r="N6" s="7">
        <v>0.11889250814332249</v>
      </c>
      <c r="O6" s="7">
        <v>0.625</v>
      </c>
    </row>
    <row r="7" spans="1:15" x14ac:dyDescent="0.35">
      <c r="A7">
        <f t="shared" si="2"/>
        <v>1951.25</v>
      </c>
      <c r="B7" s="7">
        <v>0</v>
      </c>
      <c r="C7" s="7">
        <v>0</v>
      </c>
      <c r="D7" s="7">
        <v>0</v>
      </c>
      <c r="E7" s="7">
        <v>0</v>
      </c>
      <c r="F7" s="7">
        <f>DATA!E7</f>
        <v>0.10452225272910828</v>
      </c>
      <c r="G7" s="7">
        <f t="shared" si="0"/>
        <v>10.452225272910828</v>
      </c>
      <c r="H7" s="7">
        <f>DATA!F7</f>
        <v>0.31807177631753969</v>
      </c>
      <c r="I7" s="7">
        <f t="shared" si="1"/>
        <v>31.807177631753969</v>
      </c>
      <c r="J7" s="7">
        <v>0</v>
      </c>
      <c r="K7" s="7">
        <v>0</v>
      </c>
      <c r="L7" s="7">
        <v>0</v>
      </c>
      <c r="M7" s="7">
        <v>0</v>
      </c>
      <c r="N7" s="7">
        <v>0.12341772151898733</v>
      </c>
      <c r="O7" s="7">
        <v>0.52882205513784453</v>
      </c>
    </row>
    <row r="8" spans="1:15" x14ac:dyDescent="0.35">
      <c r="A8">
        <f t="shared" si="2"/>
        <v>1951.5</v>
      </c>
      <c r="B8" s="7">
        <v>0</v>
      </c>
      <c r="C8" s="7">
        <v>0</v>
      </c>
      <c r="D8" s="7">
        <v>0</v>
      </c>
      <c r="E8" s="7">
        <v>0</v>
      </c>
      <c r="F8" s="7">
        <f>DATA!E8</f>
        <v>9.8793595893718694E-2</v>
      </c>
      <c r="G8" s="7">
        <f t="shared" si="0"/>
        <v>9.8793595893718695</v>
      </c>
      <c r="H8" s="7">
        <f>DATA!F8</f>
        <v>0.31732460293839115</v>
      </c>
      <c r="I8" s="7">
        <f t="shared" si="1"/>
        <v>31.732460293839114</v>
      </c>
      <c r="J8" s="7">
        <v>0</v>
      </c>
      <c r="K8" s="7">
        <v>0</v>
      </c>
      <c r="L8" s="7">
        <v>0</v>
      </c>
      <c r="M8" s="7">
        <v>0</v>
      </c>
      <c r="N8" s="7">
        <v>0.12676056338028166</v>
      </c>
      <c r="O8" s="7">
        <v>0.47277227722772275</v>
      </c>
    </row>
    <row r="9" spans="1:15" x14ac:dyDescent="0.35">
      <c r="A9">
        <f t="shared" si="2"/>
        <v>1951.75</v>
      </c>
      <c r="B9" s="7">
        <v>0</v>
      </c>
      <c r="C9" s="7">
        <v>0</v>
      </c>
      <c r="D9" s="7">
        <v>0</v>
      </c>
      <c r="E9" s="7">
        <v>0</v>
      </c>
      <c r="F9" s="7">
        <f>DATA!E9</f>
        <v>9.8944984204565781E-2</v>
      </c>
      <c r="G9" s="7">
        <f t="shared" si="0"/>
        <v>9.8944984204565785</v>
      </c>
      <c r="H9" s="7">
        <f>DATA!F9</f>
        <v>0.31630824372759853</v>
      </c>
      <c r="I9" s="7">
        <f t="shared" si="1"/>
        <v>31.630824372759854</v>
      </c>
      <c r="J9" s="7">
        <v>0</v>
      </c>
      <c r="K9" s="7">
        <v>0</v>
      </c>
      <c r="L9" s="7">
        <v>0</v>
      </c>
      <c r="M9" s="7">
        <v>0</v>
      </c>
      <c r="N9" s="7">
        <v>0.13136729222520108</v>
      </c>
      <c r="O9" s="7">
        <v>0.48803827751196166</v>
      </c>
    </row>
    <row r="10" spans="1:15" x14ac:dyDescent="0.35">
      <c r="A10">
        <f t="shared" si="2"/>
        <v>1952</v>
      </c>
      <c r="B10" s="7">
        <v>0</v>
      </c>
      <c r="C10" s="7">
        <v>0</v>
      </c>
      <c r="D10" s="7">
        <v>0</v>
      </c>
      <c r="E10" s="7">
        <v>0</v>
      </c>
      <c r="F10" s="7">
        <f>DATA!E10</f>
        <v>0.10115883654131863</v>
      </c>
      <c r="G10" s="7">
        <f t="shared" si="0"/>
        <v>10.115883654131864</v>
      </c>
      <c r="H10" s="7">
        <f>DATA!F10</f>
        <v>0.31304775669608537</v>
      </c>
      <c r="I10" s="7">
        <f t="shared" si="1"/>
        <v>31.304775669608535</v>
      </c>
      <c r="J10" s="7">
        <v>0</v>
      </c>
      <c r="K10" s="7">
        <v>0</v>
      </c>
      <c r="L10" s="7">
        <v>0</v>
      </c>
      <c r="M10" s="7">
        <v>0</v>
      </c>
      <c r="N10" s="7">
        <v>0.1358118361153263</v>
      </c>
      <c r="O10" s="7">
        <v>0.47704081632653056</v>
      </c>
    </row>
    <row r="11" spans="1:15" x14ac:dyDescent="0.35">
      <c r="A11">
        <f t="shared" si="2"/>
        <v>1952.25</v>
      </c>
      <c r="B11" s="7">
        <v>0</v>
      </c>
      <c r="C11" s="7">
        <v>0</v>
      </c>
      <c r="D11" s="7">
        <v>0</v>
      </c>
      <c r="E11" s="7">
        <v>0</v>
      </c>
      <c r="F11" s="7">
        <f>DATA!E11</f>
        <v>9.7294171734071441E-2</v>
      </c>
      <c r="G11" s="7">
        <f t="shared" si="0"/>
        <v>9.7294171734071444</v>
      </c>
      <c r="H11" s="7">
        <f>DATA!F11</f>
        <v>0.31172452251498678</v>
      </c>
      <c r="I11" s="7">
        <f t="shared" si="1"/>
        <v>31.172452251498679</v>
      </c>
      <c r="J11" s="7">
        <v>0</v>
      </c>
      <c r="K11" s="7">
        <v>0</v>
      </c>
      <c r="L11" s="7">
        <v>0</v>
      </c>
      <c r="M11" s="7">
        <v>0</v>
      </c>
      <c r="N11" s="7">
        <v>0.13692480359147025</v>
      </c>
      <c r="O11" s="7">
        <v>0.47439353099730458</v>
      </c>
    </row>
    <row r="12" spans="1:15" x14ac:dyDescent="0.35">
      <c r="A12">
        <f t="shared" si="2"/>
        <v>1952.5</v>
      </c>
      <c r="B12" s="7">
        <v>0</v>
      </c>
      <c r="C12" s="7">
        <v>0</v>
      </c>
      <c r="D12" s="7">
        <v>0</v>
      </c>
      <c r="E12" s="7">
        <v>0</v>
      </c>
      <c r="F12" s="7">
        <f>DATA!E12</f>
        <v>9.2827846452894575E-2</v>
      </c>
      <c r="G12" s="7">
        <f t="shared" si="0"/>
        <v>9.2827846452894569</v>
      </c>
      <c r="H12" s="7">
        <f>DATA!F12</f>
        <v>0.3137940306534015</v>
      </c>
      <c r="I12" s="7">
        <f t="shared" si="1"/>
        <v>31.379403065340149</v>
      </c>
      <c r="J12" s="7">
        <v>0</v>
      </c>
      <c r="K12" s="7">
        <v>0</v>
      </c>
      <c r="L12" s="7">
        <v>0</v>
      </c>
      <c r="M12" s="7">
        <v>0</v>
      </c>
      <c r="N12" s="7">
        <v>0.13538236370289056</v>
      </c>
      <c r="O12" s="7">
        <v>0.47554347826086951</v>
      </c>
    </row>
    <row r="13" spans="1:15" x14ac:dyDescent="0.35">
      <c r="A13">
        <f t="shared" si="2"/>
        <v>1952.75</v>
      </c>
      <c r="B13" s="7">
        <v>0</v>
      </c>
      <c r="C13" s="7">
        <v>0</v>
      </c>
      <c r="D13" s="7">
        <v>0</v>
      </c>
      <c r="E13" s="7">
        <v>0</v>
      </c>
      <c r="F13" s="7">
        <f>DATA!E13</f>
        <v>8.9062989063937559E-2</v>
      </c>
      <c r="G13" s="7">
        <f t="shared" si="0"/>
        <v>8.9062989063937561</v>
      </c>
      <c r="H13" s="7">
        <f>DATA!F13</f>
        <v>0.31364492381441539</v>
      </c>
      <c r="I13" s="7">
        <f t="shared" si="1"/>
        <v>31.36449238144154</v>
      </c>
      <c r="J13" s="7">
        <v>0</v>
      </c>
      <c r="K13" s="7">
        <v>0</v>
      </c>
      <c r="L13" s="7">
        <v>0</v>
      </c>
      <c r="M13" s="7">
        <v>0</v>
      </c>
      <c r="N13" s="7">
        <v>0.13600572655690765</v>
      </c>
      <c r="O13" s="7">
        <v>0.47188264058679708</v>
      </c>
    </row>
    <row r="14" spans="1:15" x14ac:dyDescent="0.35">
      <c r="A14">
        <f t="shared" si="2"/>
        <v>1953</v>
      </c>
      <c r="B14" s="7">
        <v>0</v>
      </c>
      <c r="C14" s="7">
        <v>0</v>
      </c>
      <c r="D14" s="7">
        <v>0</v>
      </c>
      <c r="E14" s="7">
        <v>0</v>
      </c>
      <c r="F14" s="7">
        <f>DATA!E14</f>
        <v>8.9483916578296227E-2</v>
      </c>
      <c r="G14" s="7">
        <f t="shared" si="0"/>
        <v>8.9483916578296228</v>
      </c>
      <c r="H14" s="7">
        <f>DATA!F14</f>
        <v>0.38402485288406968</v>
      </c>
      <c r="I14" s="7">
        <f t="shared" si="1"/>
        <v>38.402485288406965</v>
      </c>
      <c r="J14" s="7">
        <v>0</v>
      </c>
      <c r="K14" s="7">
        <v>0</v>
      </c>
      <c r="L14" s="7">
        <v>0</v>
      </c>
      <c r="M14" s="7">
        <v>0</v>
      </c>
      <c r="N14" s="7">
        <v>0.13481168602604715</v>
      </c>
      <c r="O14" s="7">
        <v>0.49038461538461531</v>
      </c>
    </row>
    <row r="15" spans="1:15" x14ac:dyDescent="0.35">
      <c r="A15">
        <f t="shared" si="2"/>
        <v>1953.25</v>
      </c>
      <c r="B15" s="7">
        <v>0</v>
      </c>
      <c r="C15" s="7">
        <v>0</v>
      </c>
      <c r="D15" s="7">
        <v>0</v>
      </c>
      <c r="E15" s="7">
        <v>0</v>
      </c>
      <c r="F15" s="7">
        <f>DATA!E15</f>
        <v>9.317239440579099E-2</v>
      </c>
      <c r="G15" s="7">
        <f t="shared" si="0"/>
        <v>9.3172394405790993</v>
      </c>
      <c r="H15" s="7">
        <f>DATA!F15</f>
        <v>0.38594294015980762</v>
      </c>
      <c r="I15" s="7">
        <f t="shared" si="1"/>
        <v>38.594294015980765</v>
      </c>
      <c r="J15" s="7">
        <v>0</v>
      </c>
      <c r="K15" s="7">
        <v>0</v>
      </c>
      <c r="L15" s="7">
        <v>0</v>
      </c>
      <c r="M15" s="7">
        <v>0</v>
      </c>
      <c r="N15" s="7">
        <v>0.13319458896982309</v>
      </c>
      <c r="O15" s="7">
        <v>0.50245098039215685</v>
      </c>
    </row>
    <row r="16" spans="1:15" x14ac:dyDescent="0.35">
      <c r="A16">
        <f t="shared" si="2"/>
        <v>1953.5</v>
      </c>
      <c r="B16" s="7">
        <v>0</v>
      </c>
      <c r="C16" s="7">
        <v>0</v>
      </c>
      <c r="D16" s="7">
        <v>0</v>
      </c>
      <c r="E16" s="7">
        <v>0</v>
      </c>
      <c r="F16" s="7">
        <f>DATA!E16</f>
        <v>9.6178937558247898E-2</v>
      </c>
      <c r="G16" s="7">
        <f t="shared" si="0"/>
        <v>9.6178937558247899</v>
      </c>
      <c r="H16" s="7">
        <f>DATA!F16</f>
        <v>0.38894043421785124</v>
      </c>
      <c r="I16" s="7">
        <f t="shared" si="1"/>
        <v>38.894043421785121</v>
      </c>
      <c r="J16" s="7">
        <v>0</v>
      </c>
      <c r="K16" s="7">
        <v>0</v>
      </c>
      <c r="L16" s="7">
        <v>0</v>
      </c>
      <c r="M16" s="7">
        <v>0</v>
      </c>
      <c r="N16" s="7">
        <v>0.13224574800416525</v>
      </c>
      <c r="O16" s="7">
        <v>0.50251256281407031</v>
      </c>
    </row>
    <row r="17" spans="1:15" x14ac:dyDescent="0.35">
      <c r="A17">
        <f t="shared" si="2"/>
        <v>1953.75</v>
      </c>
      <c r="B17" s="7">
        <v>0</v>
      </c>
      <c r="C17" s="7">
        <v>0</v>
      </c>
      <c r="D17" s="7">
        <v>0</v>
      </c>
      <c r="E17" s="7">
        <v>0</v>
      </c>
      <c r="F17" s="7">
        <f>DATA!E17</f>
        <v>0.10860120214295048</v>
      </c>
      <c r="G17" s="7">
        <f t="shared" si="0"/>
        <v>10.860120214295048</v>
      </c>
      <c r="H17" s="7">
        <f>DATA!F17</f>
        <v>0.38901937205238535</v>
      </c>
      <c r="I17" s="7">
        <f t="shared" si="1"/>
        <v>38.901937205238532</v>
      </c>
      <c r="J17" s="7">
        <v>0</v>
      </c>
      <c r="K17" s="7">
        <v>0</v>
      </c>
      <c r="L17" s="7">
        <v>0</v>
      </c>
      <c r="M17" s="7">
        <v>0</v>
      </c>
      <c r="N17" s="7">
        <v>0.1317991631799163</v>
      </c>
      <c r="O17" s="7">
        <v>0.47706422018348621</v>
      </c>
    </row>
    <row r="18" spans="1:15" x14ac:dyDescent="0.35">
      <c r="A18">
        <f t="shared" si="2"/>
        <v>1954</v>
      </c>
      <c r="B18" s="7">
        <v>0</v>
      </c>
      <c r="C18" s="7">
        <v>0</v>
      </c>
      <c r="D18" s="7">
        <v>0</v>
      </c>
      <c r="E18" s="7">
        <v>0</v>
      </c>
      <c r="F18" s="7">
        <f>DATA!E18</f>
        <v>0.11473990713779807</v>
      </c>
      <c r="G18" s="7">
        <f t="shared" si="0"/>
        <v>11.473990713779807</v>
      </c>
      <c r="H18" s="7">
        <f>DATA!F18</f>
        <v>0.47754471017120609</v>
      </c>
      <c r="I18" s="7">
        <f t="shared" si="1"/>
        <v>47.754471017120608</v>
      </c>
      <c r="J18" s="7">
        <v>0</v>
      </c>
      <c r="K18" s="7">
        <v>0</v>
      </c>
      <c r="L18" s="7">
        <v>0</v>
      </c>
      <c r="M18" s="7">
        <v>0</v>
      </c>
      <c r="N18" s="7">
        <v>0.12504353883664227</v>
      </c>
      <c r="O18" s="7">
        <v>0.43874643874643876</v>
      </c>
    </row>
    <row r="19" spans="1:15" x14ac:dyDescent="0.35">
      <c r="A19">
        <f t="shared" si="2"/>
        <v>1954.25</v>
      </c>
      <c r="B19" s="7">
        <v>0</v>
      </c>
      <c r="C19" s="7">
        <v>0</v>
      </c>
      <c r="D19" s="7">
        <v>0</v>
      </c>
      <c r="E19" s="7">
        <v>0</v>
      </c>
      <c r="F19" s="7">
        <f>DATA!E19</f>
        <v>0.1184452071194828</v>
      </c>
      <c r="G19" s="7">
        <f t="shared" si="0"/>
        <v>11.844520711948279</v>
      </c>
      <c r="H19" s="7">
        <f>DATA!F19</f>
        <v>0.47388603592492096</v>
      </c>
      <c r="I19" s="7">
        <f t="shared" si="1"/>
        <v>47.388603592492096</v>
      </c>
      <c r="J19" s="7">
        <v>0</v>
      </c>
      <c r="K19" s="7">
        <v>0</v>
      </c>
      <c r="L19" s="7">
        <v>0</v>
      </c>
      <c r="M19" s="7">
        <v>0</v>
      </c>
      <c r="N19" s="7">
        <v>0.12451906260930397</v>
      </c>
      <c r="O19" s="7">
        <v>0.43561643835616437</v>
      </c>
    </row>
    <row r="20" spans="1:15" x14ac:dyDescent="0.35">
      <c r="A20">
        <f t="shared" si="2"/>
        <v>1954.5</v>
      </c>
      <c r="B20" s="7">
        <v>-0.28001400070003502</v>
      </c>
      <c r="C20" s="7">
        <v>-1.6304347826086956</v>
      </c>
      <c r="D20" s="7">
        <v>-3.1800000000000023E-2</v>
      </c>
      <c r="E20" s="7">
        <v>-0.75700000000000012</v>
      </c>
      <c r="F20" s="7">
        <f>DATA!E20</f>
        <v>0.12111471586406923</v>
      </c>
      <c r="G20" s="7">
        <f t="shared" si="0"/>
        <v>12.111471586406923</v>
      </c>
      <c r="H20" s="7">
        <f>DATA!F20</f>
        <v>0.46967983081689874</v>
      </c>
      <c r="I20" s="7">
        <f t="shared" si="1"/>
        <v>46.967983081689873</v>
      </c>
      <c r="J20" s="7">
        <v>-0.28001400070003502</v>
      </c>
      <c r="K20" s="7">
        <v>-1.6304347826086956</v>
      </c>
      <c r="L20" s="7">
        <v>-8.1009348958638316E-4</v>
      </c>
      <c r="M20" s="7">
        <v>-0.84767264968421285</v>
      </c>
      <c r="N20" s="7">
        <v>0.12404447533009032</v>
      </c>
      <c r="O20" s="7">
        <v>0.44010416666666657</v>
      </c>
    </row>
    <row r="21" spans="1:15" x14ac:dyDescent="0.35">
      <c r="A21">
        <f t="shared" si="2"/>
        <v>1954.75</v>
      </c>
      <c r="B21" s="7">
        <v>0</v>
      </c>
      <c r="C21" s="7">
        <v>0</v>
      </c>
      <c r="D21" s="7">
        <v>0</v>
      </c>
      <c r="E21" s="7">
        <v>0</v>
      </c>
      <c r="F21" s="7">
        <f>DATA!E21</f>
        <v>0.12618922504235094</v>
      </c>
      <c r="G21" s="7">
        <f t="shared" si="0"/>
        <v>12.618922504235094</v>
      </c>
      <c r="H21" s="7">
        <f>DATA!F21</f>
        <v>0.46576091912099932</v>
      </c>
      <c r="I21" s="7">
        <f t="shared" si="1"/>
        <v>46.576091912099933</v>
      </c>
      <c r="J21" s="7">
        <v>0</v>
      </c>
      <c r="K21" s="7">
        <v>0</v>
      </c>
      <c r="L21" s="7">
        <v>0</v>
      </c>
      <c r="M21" s="7">
        <v>0</v>
      </c>
      <c r="N21" s="7">
        <v>0.12341880341880343</v>
      </c>
      <c r="O21" s="7">
        <v>0.43230403800475053</v>
      </c>
    </row>
    <row r="22" spans="1:15" x14ac:dyDescent="0.35">
      <c r="A22">
        <f t="shared" si="2"/>
        <v>1955</v>
      </c>
      <c r="B22" s="7">
        <v>0</v>
      </c>
      <c r="C22" s="7">
        <v>0</v>
      </c>
      <c r="D22" s="7">
        <v>0</v>
      </c>
      <c r="E22" s="7">
        <v>0</v>
      </c>
      <c r="F22" s="7">
        <f>DATA!E22</f>
        <v>0.13028831430196439</v>
      </c>
      <c r="G22" s="7">
        <f t="shared" si="0"/>
        <v>13.028831430196439</v>
      </c>
      <c r="H22" s="7">
        <f>DATA!F22</f>
        <v>0.44924260639576818</v>
      </c>
      <c r="I22" s="7">
        <f t="shared" si="1"/>
        <v>44.924260639576815</v>
      </c>
      <c r="J22" s="7">
        <v>0</v>
      </c>
      <c r="K22" s="7">
        <v>0</v>
      </c>
      <c r="L22" s="7">
        <v>0</v>
      </c>
      <c r="M22" s="7">
        <v>0</v>
      </c>
      <c r="N22" s="7">
        <v>0.12571046472751587</v>
      </c>
      <c r="O22" s="7">
        <v>0.42796610169491522</v>
      </c>
    </row>
    <row r="23" spans="1:15" x14ac:dyDescent="0.35">
      <c r="A23">
        <f t="shared" si="2"/>
        <v>1955.25</v>
      </c>
      <c r="B23" s="7">
        <v>0</v>
      </c>
      <c r="C23" s="7">
        <v>0</v>
      </c>
      <c r="D23" s="7">
        <v>0</v>
      </c>
      <c r="E23" s="7">
        <v>0</v>
      </c>
      <c r="F23" s="7">
        <f>DATA!E23</f>
        <v>0.13124416013800042</v>
      </c>
      <c r="G23" s="7">
        <f t="shared" si="0"/>
        <v>13.124416013800042</v>
      </c>
      <c r="H23" s="7">
        <f>DATA!F23</f>
        <v>0.44308871354022233</v>
      </c>
      <c r="I23" s="7">
        <f t="shared" si="1"/>
        <v>44.30887135402223</v>
      </c>
      <c r="J23" s="7">
        <v>0</v>
      </c>
      <c r="K23" s="7">
        <v>0</v>
      </c>
      <c r="L23" s="7">
        <v>0</v>
      </c>
      <c r="M23" s="7">
        <v>0</v>
      </c>
      <c r="N23" s="7">
        <v>0.12638436482084689</v>
      </c>
      <c r="O23" s="7">
        <v>0.42148760330578505</v>
      </c>
    </row>
    <row r="24" spans="1:15" x14ac:dyDescent="0.35">
      <c r="A24">
        <f t="shared" si="2"/>
        <v>1955.5</v>
      </c>
      <c r="B24" s="7">
        <v>0</v>
      </c>
      <c r="C24" s="7">
        <v>0</v>
      </c>
      <c r="D24" s="7">
        <v>0</v>
      </c>
      <c r="E24" s="7">
        <v>0</v>
      </c>
      <c r="F24" s="7">
        <f>DATA!E24</f>
        <v>0.12975807045151069</v>
      </c>
      <c r="G24" s="7">
        <f t="shared" si="0"/>
        <v>12.97580704515107</v>
      </c>
      <c r="H24" s="7">
        <f>DATA!F24</f>
        <v>0.43901949972429688</v>
      </c>
      <c r="I24" s="7">
        <f t="shared" si="1"/>
        <v>43.901949972429691</v>
      </c>
      <c r="J24" s="7">
        <v>0</v>
      </c>
      <c r="K24" s="7">
        <v>0</v>
      </c>
      <c r="L24" s="7">
        <v>0</v>
      </c>
      <c r="M24" s="7">
        <v>0</v>
      </c>
      <c r="N24" s="7">
        <v>0.12690839694656489</v>
      </c>
      <c r="O24" s="7">
        <v>0.42566191446028512</v>
      </c>
    </row>
    <row r="25" spans="1:15" x14ac:dyDescent="0.35">
      <c r="A25">
        <f t="shared" si="2"/>
        <v>1955.75</v>
      </c>
      <c r="B25" s="7">
        <v>0</v>
      </c>
      <c r="C25" s="7">
        <v>0</v>
      </c>
      <c r="D25" s="7">
        <v>0</v>
      </c>
      <c r="E25" s="7">
        <v>0</v>
      </c>
      <c r="F25" s="7">
        <f>DATA!E25</f>
        <v>0.13004476625302694</v>
      </c>
      <c r="G25" s="7">
        <f t="shared" si="0"/>
        <v>13.004476625302694</v>
      </c>
      <c r="H25" s="7">
        <f>DATA!F25</f>
        <v>0.4400072773583189</v>
      </c>
      <c r="I25" s="7">
        <f t="shared" si="1"/>
        <v>44.000727735831887</v>
      </c>
      <c r="J25" s="7">
        <v>0</v>
      </c>
      <c r="K25" s="7">
        <v>0</v>
      </c>
      <c r="L25" s="7">
        <v>0</v>
      </c>
      <c r="M25" s="7">
        <v>0</v>
      </c>
      <c r="N25" s="7">
        <v>0.12742642454602382</v>
      </c>
      <c r="O25" s="7">
        <v>0.434</v>
      </c>
    </row>
    <row r="26" spans="1:15" x14ac:dyDescent="0.35">
      <c r="A26">
        <f t="shared" si="2"/>
        <v>1956</v>
      </c>
      <c r="B26" s="7">
        <v>0</v>
      </c>
      <c r="C26" s="7">
        <v>0</v>
      </c>
      <c r="D26" s="7">
        <v>0</v>
      </c>
      <c r="E26" s="7">
        <v>0</v>
      </c>
      <c r="F26" s="7">
        <f>DATA!E26</f>
        <v>0.12911845980990555</v>
      </c>
      <c r="G26" s="7">
        <f t="shared" si="0"/>
        <v>12.911845980990556</v>
      </c>
      <c r="H26" s="7">
        <f>DATA!F26</f>
        <v>0.44494803129017502</v>
      </c>
      <c r="I26" s="7">
        <f t="shared" si="1"/>
        <v>44.494803129017498</v>
      </c>
      <c r="J26" s="7">
        <v>0</v>
      </c>
      <c r="K26" s="7">
        <v>0</v>
      </c>
      <c r="L26" s="7">
        <v>0</v>
      </c>
      <c r="M26" s="7">
        <v>0</v>
      </c>
      <c r="N26" s="7">
        <v>0.1298062134727776</v>
      </c>
      <c r="O26" s="7">
        <v>0.4291666666666667</v>
      </c>
    </row>
    <row r="27" spans="1:15" x14ac:dyDescent="0.35">
      <c r="A27">
        <f t="shared" si="2"/>
        <v>1956.25</v>
      </c>
      <c r="B27" s="7">
        <v>0</v>
      </c>
      <c r="C27" s="7">
        <v>0</v>
      </c>
      <c r="D27" s="7">
        <v>0</v>
      </c>
      <c r="E27" s="7">
        <v>0</v>
      </c>
      <c r="F27" s="7">
        <f>DATA!E27</f>
        <v>0.12773866066254105</v>
      </c>
      <c r="G27" s="7">
        <f t="shared" si="0"/>
        <v>12.773866066254106</v>
      </c>
      <c r="H27" s="7">
        <f>DATA!F27</f>
        <v>0.44549680670808534</v>
      </c>
      <c r="I27" s="7">
        <f t="shared" si="1"/>
        <v>44.549680670808534</v>
      </c>
      <c r="J27" s="7">
        <v>0</v>
      </c>
      <c r="K27" s="7">
        <v>0</v>
      </c>
      <c r="L27" s="7">
        <v>0</v>
      </c>
      <c r="M27" s="7">
        <v>0</v>
      </c>
      <c r="N27" s="7">
        <v>0.13059250302297459</v>
      </c>
      <c r="O27" s="7">
        <v>0.44025157232704398</v>
      </c>
    </row>
    <row r="28" spans="1:15" x14ac:dyDescent="0.35">
      <c r="A28">
        <f t="shared" si="2"/>
        <v>1956.5</v>
      </c>
      <c r="B28" s="7">
        <v>0</v>
      </c>
      <c r="C28" s="7">
        <v>0</v>
      </c>
      <c r="D28" s="7">
        <v>0</v>
      </c>
      <c r="E28" s="7">
        <v>0</v>
      </c>
      <c r="F28" s="7">
        <f>DATA!E28</f>
        <v>0.12692574231035769</v>
      </c>
      <c r="G28" s="7">
        <f t="shared" si="0"/>
        <v>12.692574231035769</v>
      </c>
      <c r="H28" s="7">
        <f>DATA!F28</f>
        <v>0.4443951460833685</v>
      </c>
      <c r="I28" s="7">
        <f t="shared" si="1"/>
        <v>44.43951460833685</v>
      </c>
      <c r="J28" s="7">
        <v>0</v>
      </c>
      <c r="K28" s="7">
        <v>0</v>
      </c>
      <c r="L28" s="7">
        <v>0</v>
      </c>
      <c r="M28" s="7">
        <v>0</v>
      </c>
      <c r="N28" s="7">
        <v>0.13062928720548764</v>
      </c>
      <c r="O28" s="7">
        <v>0.42004264392324092</v>
      </c>
    </row>
    <row r="29" spans="1:15" x14ac:dyDescent="0.35">
      <c r="A29">
        <f t="shared" si="2"/>
        <v>1956.75</v>
      </c>
      <c r="B29" s="7">
        <v>0</v>
      </c>
      <c r="C29" s="7">
        <v>0</v>
      </c>
      <c r="D29" s="7">
        <v>0</v>
      </c>
      <c r="E29" s="7">
        <v>0</v>
      </c>
      <c r="F29" s="7">
        <f>DATA!E29</f>
        <v>0.12563135519810226</v>
      </c>
      <c r="G29" s="7">
        <f t="shared" si="0"/>
        <v>12.563135519810226</v>
      </c>
      <c r="H29" s="7">
        <f>DATA!F29</f>
        <v>0.43775111685538476</v>
      </c>
      <c r="I29" s="7">
        <f t="shared" si="1"/>
        <v>43.775111685538477</v>
      </c>
      <c r="J29" s="7">
        <v>0</v>
      </c>
      <c r="K29" s="7">
        <v>0</v>
      </c>
      <c r="L29" s="7">
        <v>0</v>
      </c>
      <c r="M29" s="7">
        <v>0</v>
      </c>
      <c r="N29" s="7">
        <v>0.13123359580052493</v>
      </c>
      <c r="O29" s="7">
        <v>0.43697478991596639</v>
      </c>
    </row>
    <row r="30" spans="1:15" x14ac:dyDescent="0.35">
      <c r="A30">
        <f t="shared" si="2"/>
        <v>1957</v>
      </c>
      <c r="B30" s="7">
        <v>0</v>
      </c>
      <c r="C30" s="7">
        <v>0</v>
      </c>
      <c r="D30" s="7">
        <v>0</v>
      </c>
      <c r="E30" s="7">
        <v>0</v>
      </c>
      <c r="F30" s="7">
        <f>DATA!E30</f>
        <v>0.11958937383174456</v>
      </c>
      <c r="G30" s="7">
        <f t="shared" si="0"/>
        <v>11.958937383174456</v>
      </c>
      <c r="H30" s="7">
        <f>DATA!F30</f>
        <v>0.40442936426523579</v>
      </c>
      <c r="I30" s="7">
        <f t="shared" si="1"/>
        <v>40.44293642652358</v>
      </c>
      <c r="J30" s="7">
        <v>0</v>
      </c>
      <c r="K30" s="7">
        <v>0</v>
      </c>
      <c r="L30" s="7">
        <v>0</v>
      </c>
      <c r="M30" s="7">
        <v>0</v>
      </c>
      <c r="N30" s="7">
        <v>0.13446587964295997</v>
      </c>
      <c r="O30" s="7">
        <v>0.43380855397148677</v>
      </c>
    </row>
    <row r="31" spans="1:15" x14ac:dyDescent="0.35">
      <c r="A31">
        <f t="shared" si="2"/>
        <v>1957.25</v>
      </c>
      <c r="B31" s="7">
        <v>0</v>
      </c>
      <c r="C31" s="7">
        <v>0</v>
      </c>
      <c r="D31" s="7">
        <v>0</v>
      </c>
      <c r="E31" s="7">
        <v>0</v>
      </c>
      <c r="F31" s="7">
        <f>DATA!E31</f>
        <v>0.11873367645440082</v>
      </c>
      <c r="G31" s="7">
        <f t="shared" si="0"/>
        <v>11.873367645440082</v>
      </c>
      <c r="H31" s="7">
        <f>DATA!F31</f>
        <v>0.40550829053933218</v>
      </c>
      <c r="I31" s="7">
        <f t="shared" si="1"/>
        <v>40.550829053933221</v>
      </c>
      <c r="J31" s="7">
        <v>0</v>
      </c>
      <c r="K31" s="7">
        <v>0</v>
      </c>
      <c r="L31" s="7">
        <v>0</v>
      </c>
      <c r="M31" s="7">
        <v>0</v>
      </c>
      <c r="N31" s="7">
        <v>0.13458796692329625</v>
      </c>
      <c r="O31" s="7">
        <v>0.42379958246346561</v>
      </c>
    </row>
    <row r="32" spans="1:15" x14ac:dyDescent="0.35">
      <c r="A32">
        <f t="shared" si="2"/>
        <v>1957.5</v>
      </c>
      <c r="B32" s="7">
        <v>0</v>
      </c>
      <c r="C32" s="7">
        <v>0</v>
      </c>
      <c r="D32" s="7">
        <v>0</v>
      </c>
      <c r="E32" s="7">
        <v>0</v>
      </c>
      <c r="F32" s="7">
        <f>DATA!E32</f>
        <v>0.11803183081883341</v>
      </c>
      <c r="G32" s="7">
        <f t="shared" si="0"/>
        <v>11.803183081883342</v>
      </c>
      <c r="H32" s="7">
        <f>DATA!F32</f>
        <v>0.40681889422033612</v>
      </c>
      <c r="I32" s="7">
        <f t="shared" si="1"/>
        <v>40.681889422033613</v>
      </c>
      <c r="J32" s="7">
        <v>0</v>
      </c>
      <c r="K32" s="7">
        <v>0</v>
      </c>
      <c r="L32" s="7">
        <v>0</v>
      </c>
      <c r="M32" s="7">
        <v>0</v>
      </c>
      <c r="N32" s="7">
        <v>0.13355874894336431</v>
      </c>
      <c r="O32" s="7">
        <v>0.41860465116279072</v>
      </c>
    </row>
    <row r="33" spans="1:15" x14ac:dyDescent="0.35">
      <c r="A33">
        <f t="shared" si="2"/>
        <v>1957.75</v>
      </c>
      <c r="B33" s="7">
        <v>0</v>
      </c>
      <c r="C33" s="7">
        <v>0</v>
      </c>
      <c r="D33" s="7">
        <v>0</v>
      </c>
      <c r="E33" s="7">
        <v>0</v>
      </c>
      <c r="F33" s="7">
        <f>DATA!E33</f>
        <v>0.11773093513469521</v>
      </c>
      <c r="G33" s="7">
        <f t="shared" si="0"/>
        <v>11.77309351346952</v>
      </c>
      <c r="H33" s="7">
        <f>DATA!F33</f>
        <v>0.40818159365948942</v>
      </c>
      <c r="I33" s="7">
        <f t="shared" si="1"/>
        <v>40.818159365948944</v>
      </c>
      <c r="J33" s="7">
        <v>0</v>
      </c>
      <c r="K33" s="7">
        <v>0</v>
      </c>
      <c r="L33" s="7">
        <v>0</v>
      </c>
      <c r="M33" s="7">
        <v>0</v>
      </c>
      <c r="N33" s="7">
        <v>0.13286118980169973</v>
      </c>
      <c r="O33" s="7">
        <v>0.41284403669724778</v>
      </c>
    </row>
    <row r="34" spans="1:15" x14ac:dyDescent="0.35">
      <c r="A34">
        <f t="shared" si="2"/>
        <v>1958</v>
      </c>
      <c r="B34" s="7">
        <v>0</v>
      </c>
      <c r="C34" s="7">
        <v>0</v>
      </c>
      <c r="D34" s="7">
        <v>0</v>
      </c>
      <c r="E34" s="7">
        <v>0</v>
      </c>
      <c r="F34" s="7">
        <f>DATA!E34</f>
        <v>0.11990494872653622</v>
      </c>
      <c r="G34" s="7">
        <f t="shared" si="0"/>
        <v>11.990494872653622</v>
      </c>
      <c r="H34" s="7">
        <f>DATA!F34</f>
        <v>0.40623554259277883</v>
      </c>
      <c r="I34" s="7">
        <f t="shared" si="1"/>
        <v>40.623554259277881</v>
      </c>
      <c r="J34" s="7">
        <v>0</v>
      </c>
      <c r="K34" s="7">
        <v>0</v>
      </c>
      <c r="L34" s="7">
        <v>0</v>
      </c>
      <c r="M34" s="7">
        <v>0</v>
      </c>
      <c r="N34" s="7">
        <v>0.13117546848381603</v>
      </c>
      <c r="O34" s="7">
        <v>0.40848806366047752</v>
      </c>
    </row>
    <row r="35" spans="1:15" x14ac:dyDescent="0.35">
      <c r="A35">
        <f t="shared" si="2"/>
        <v>1958.25</v>
      </c>
      <c r="B35" s="7">
        <v>0</v>
      </c>
      <c r="C35" s="7">
        <v>0</v>
      </c>
      <c r="D35" s="7">
        <v>0</v>
      </c>
      <c r="E35" s="7">
        <v>0</v>
      </c>
      <c r="F35" s="7">
        <f>DATA!E35</f>
        <v>0.12076247430386845</v>
      </c>
      <c r="G35" s="7">
        <f t="shared" si="0"/>
        <v>12.076247430386845</v>
      </c>
      <c r="H35" s="7">
        <f>DATA!F35</f>
        <v>0.40504321623979062</v>
      </c>
      <c r="I35" s="7">
        <f t="shared" si="1"/>
        <v>40.50432162397906</v>
      </c>
      <c r="J35" s="7">
        <v>0</v>
      </c>
      <c r="K35" s="7">
        <v>0</v>
      </c>
      <c r="L35" s="7">
        <v>0</v>
      </c>
      <c r="M35" s="7">
        <v>0</v>
      </c>
      <c r="N35" s="7">
        <v>0.1293617021276596</v>
      </c>
      <c r="O35" s="7">
        <v>0.40932642487046633</v>
      </c>
    </row>
    <row r="36" spans="1:15" x14ac:dyDescent="0.35">
      <c r="A36">
        <f t="shared" si="2"/>
        <v>1958.5</v>
      </c>
      <c r="B36" s="7">
        <v>0</v>
      </c>
      <c r="C36" s="7">
        <v>0</v>
      </c>
      <c r="D36" s="7">
        <v>0</v>
      </c>
      <c r="E36" s="7">
        <v>0</v>
      </c>
      <c r="F36" s="7">
        <f>DATA!E36</f>
        <v>0.12121618042384259</v>
      </c>
      <c r="G36" s="7">
        <f t="shared" si="0"/>
        <v>12.121618042384259</v>
      </c>
      <c r="H36" s="7">
        <f>DATA!F36</f>
        <v>0.40416771374997584</v>
      </c>
      <c r="I36" s="7">
        <f t="shared" si="1"/>
        <v>40.416771374997587</v>
      </c>
      <c r="J36" s="7">
        <v>0</v>
      </c>
      <c r="K36" s="7">
        <v>0</v>
      </c>
      <c r="L36" s="7">
        <v>0</v>
      </c>
      <c r="M36" s="7">
        <v>0</v>
      </c>
      <c r="N36" s="7">
        <v>0.13033832501386577</v>
      </c>
      <c r="O36" s="7">
        <v>0.41822429906542058</v>
      </c>
    </row>
    <row r="37" spans="1:15" x14ac:dyDescent="0.35">
      <c r="A37">
        <f t="shared" si="2"/>
        <v>1958.75</v>
      </c>
      <c r="B37" s="7">
        <v>0</v>
      </c>
      <c r="C37" s="7">
        <v>0</v>
      </c>
      <c r="D37" s="7">
        <v>0</v>
      </c>
      <c r="E37" s="7">
        <v>0</v>
      </c>
      <c r="F37" s="7">
        <f>DATA!E37</f>
        <v>0.12205584783488467</v>
      </c>
      <c r="G37" s="7">
        <f t="shared" si="0"/>
        <v>12.205584783488467</v>
      </c>
      <c r="H37" s="7">
        <f>DATA!F37</f>
        <v>0.40370514748194763</v>
      </c>
      <c r="I37" s="7">
        <f t="shared" si="1"/>
        <v>40.370514748194765</v>
      </c>
      <c r="J37" s="7">
        <v>0</v>
      </c>
      <c r="K37" s="7">
        <v>0</v>
      </c>
      <c r="L37" s="7">
        <v>0</v>
      </c>
      <c r="M37" s="7">
        <v>0</v>
      </c>
      <c r="N37" s="7">
        <v>0.1296144380639869</v>
      </c>
      <c r="O37" s="7">
        <v>0.42680412371134019</v>
      </c>
    </row>
    <row r="38" spans="1:15" x14ac:dyDescent="0.35">
      <c r="A38">
        <f t="shared" si="2"/>
        <v>1959</v>
      </c>
      <c r="B38" s="7">
        <v>0</v>
      </c>
      <c r="C38" s="7">
        <v>0</v>
      </c>
      <c r="D38" s="7">
        <v>0</v>
      </c>
      <c r="E38" s="7">
        <v>0</v>
      </c>
      <c r="F38" s="7">
        <f>DATA!E38</f>
        <v>0.1245018186752728</v>
      </c>
      <c r="G38" s="7">
        <f t="shared" si="0"/>
        <v>12.450181867527279</v>
      </c>
      <c r="H38" s="7">
        <f>DATA!F38</f>
        <v>0.39475949124988052</v>
      </c>
      <c r="I38" s="7">
        <f t="shared" si="1"/>
        <v>39.475949124988055</v>
      </c>
      <c r="J38" s="7">
        <v>0</v>
      </c>
      <c r="K38" s="7">
        <v>0</v>
      </c>
      <c r="L38" s="7">
        <v>0</v>
      </c>
      <c r="M38" s="7">
        <v>0</v>
      </c>
      <c r="N38" s="7">
        <v>0.13502673796791445</v>
      </c>
      <c r="O38" s="7">
        <v>0.41538461538461541</v>
      </c>
    </row>
    <row r="39" spans="1:15" x14ac:dyDescent="0.35">
      <c r="A39">
        <f t="shared" si="2"/>
        <v>1959.25</v>
      </c>
      <c r="B39" s="7">
        <v>0</v>
      </c>
      <c r="C39" s="7">
        <v>0</v>
      </c>
      <c r="D39" s="7">
        <v>0</v>
      </c>
      <c r="E39" s="7">
        <v>0</v>
      </c>
      <c r="F39" s="7">
        <f>DATA!E39</f>
        <v>0.12521244815684909</v>
      </c>
      <c r="G39" s="7">
        <f t="shared" si="0"/>
        <v>12.521244815684909</v>
      </c>
      <c r="H39" s="7">
        <f>DATA!F39</f>
        <v>0.39273841096709122</v>
      </c>
      <c r="I39" s="7">
        <f t="shared" si="1"/>
        <v>39.27384109670912</v>
      </c>
      <c r="J39" s="7">
        <v>0</v>
      </c>
      <c r="K39" s="7">
        <v>0</v>
      </c>
      <c r="L39" s="7">
        <v>0</v>
      </c>
      <c r="M39" s="7">
        <v>0</v>
      </c>
      <c r="N39" s="7">
        <v>0.13528336380255943</v>
      </c>
      <c r="O39" s="7">
        <v>0.41403508771929826</v>
      </c>
    </row>
    <row r="40" spans="1:15" x14ac:dyDescent="0.35">
      <c r="A40">
        <f t="shared" si="2"/>
        <v>1959.5</v>
      </c>
      <c r="B40" s="7">
        <v>0</v>
      </c>
      <c r="C40" s="7">
        <v>0</v>
      </c>
      <c r="D40" s="7">
        <v>0</v>
      </c>
      <c r="E40" s="7">
        <v>0</v>
      </c>
      <c r="F40" s="7">
        <f>DATA!E40</f>
        <v>0.1251931684771897</v>
      </c>
      <c r="G40" s="7">
        <f t="shared" si="0"/>
        <v>12.51931684771897</v>
      </c>
      <c r="H40" s="7">
        <f>DATA!F40</f>
        <v>0.38712970415595122</v>
      </c>
      <c r="I40" s="7">
        <f t="shared" si="1"/>
        <v>38.712970415595123</v>
      </c>
      <c r="J40" s="7">
        <v>0</v>
      </c>
      <c r="K40" s="7">
        <v>0</v>
      </c>
      <c r="L40" s="7">
        <v>0</v>
      </c>
      <c r="M40" s="7">
        <v>0</v>
      </c>
      <c r="N40" s="7">
        <v>0.13565488565488565</v>
      </c>
      <c r="O40" s="7">
        <v>0.40582524271844655</v>
      </c>
    </row>
    <row r="41" spans="1:15" x14ac:dyDescent="0.35">
      <c r="A41">
        <f t="shared" si="2"/>
        <v>1959.75</v>
      </c>
      <c r="B41" s="7">
        <v>0</v>
      </c>
      <c r="C41" s="7">
        <v>0</v>
      </c>
      <c r="D41" s="7">
        <v>0</v>
      </c>
      <c r="E41" s="7">
        <v>0</v>
      </c>
      <c r="F41" s="7">
        <f>DATA!E41</f>
        <v>0.12555101173721389</v>
      </c>
      <c r="G41" s="7">
        <f t="shared" si="0"/>
        <v>12.55510117372139</v>
      </c>
      <c r="H41" s="7">
        <f>DATA!F41</f>
        <v>0.38708476784218854</v>
      </c>
      <c r="I41" s="7">
        <f t="shared" si="1"/>
        <v>38.708476784218853</v>
      </c>
      <c r="J41" s="7">
        <v>0</v>
      </c>
      <c r="K41" s="7">
        <v>0</v>
      </c>
      <c r="L41" s="7">
        <v>0</v>
      </c>
      <c r="M41" s="7">
        <v>0</v>
      </c>
      <c r="N41" s="7">
        <v>0.13644524236983843</v>
      </c>
      <c r="O41" s="7">
        <v>0.38921001926782273</v>
      </c>
    </row>
    <row r="42" spans="1:15" x14ac:dyDescent="0.35">
      <c r="A42">
        <f t="shared" si="2"/>
        <v>1960</v>
      </c>
      <c r="B42" s="7">
        <v>0</v>
      </c>
      <c r="C42" s="7">
        <v>0</v>
      </c>
      <c r="D42" s="7">
        <v>0</v>
      </c>
      <c r="E42" s="7">
        <v>0</v>
      </c>
      <c r="F42" s="7">
        <f>DATA!E42</f>
        <v>0.12891902408331884</v>
      </c>
      <c r="G42" s="7">
        <f t="shared" si="0"/>
        <v>12.891902408331884</v>
      </c>
      <c r="H42" s="7">
        <f>DATA!F42</f>
        <v>0.38988957775413624</v>
      </c>
      <c r="I42" s="7">
        <f t="shared" si="1"/>
        <v>38.988957775413624</v>
      </c>
      <c r="J42" s="7">
        <v>0</v>
      </c>
      <c r="K42" s="7">
        <v>0</v>
      </c>
      <c r="L42" s="7">
        <v>0</v>
      </c>
      <c r="M42" s="7">
        <v>0</v>
      </c>
      <c r="N42" s="7">
        <v>0.14307191180155351</v>
      </c>
      <c r="O42" s="7">
        <v>0.40535714285714286</v>
      </c>
    </row>
    <row r="43" spans="1:15" x14ac:dyDescent="0.35">
      <c r="A43">
        <f t="shared" si="2"/>
        <v>1960.25</v>
      </c>
      <c r="B43" s="7">
        <v>0</v>
      </c>
      <c r="C43" s="7">
        <v>0</v>
      </c>
      <c r="D43" s="7">
        <v>0</v>
      </c>
      <c r="E43" s="7">
        <v>0</v>
      </c>
      <c r="F43" s="7">
        <f>DATA!E43</f>
        <v>0.12833210754269839</v>
      </c>
      <c r="G43" s="7">
        <f t="shared" si="0"/>
        <v>12.833210754269839</v>
      </c>
      <c r="H43" s="7">
        <f>DATA!F43</f>
        <v>0.38890484121058977</v>
      </c>
      <c r="I43" s="7">
        <f t="shared" si="1"/>
        <v>38.890484121058975</v>
      </c>
      <c r="J43" s="7">
        <v>0</v>
      </c>
      <c r="K43" s="7">
        <v>0</v>
      </c>
      <c r="L43" s="7">
        <v>0</v>
      </c>
      <c r="M43" s="7">
        <v>0</v>
      </c>
      <c r="N43" s="7">
        <v>0.143424317617866</v>
      </c>
      <c r="O43" s="7">
        <v>0.39846743295019155</v>
      </c>
    </row>
    <row r="44" spans="1:15" x14ac:dyDescent="0.35">
      <c r="A44">
        <f t="shared" si="2"/>
        <v>1960.5</v>
      </c>
      <c r="B44" s="7">
        <v>0</v>
      </c>
      <c r="C44" s="7">
        <v>0</v>
      </c>
      <c r="D44" s="7">
        <v>0</v>
      </c>
      <c r="E44" s="7">
        <v>0</v>
      </c>
      <c r="F44" s="7">
        <f>DATA!E44</f>
        <v>0.12750787642024436</v>
      </c>
      <c r="G44" s="7">
        <f t="shared" si="0"/>
        <v>12.750787642024436</v>
      </c>
      <c r="H44" s="7">
        <f>DATA!F44</f>
        <v>0.38804802690758344</v>
      </c>
      <c r="I44" s="7">
        <f t="shared" si="1"/>
        <v>38.804802690758343</v>
      </c>
      <c r="J44" s="7">
        <v>0</v>
      </c>
      <c r="K44" s="7">
        <v>0</v>
      </c>
      <c r="L44" s="7">
        <v>0</v>
      </c>
      <c r="M44" s="7">
        <v>0</v>
      </c>
      <c r="N44" s="7">
        <v>0.14434008897676717</v>
      </c>
      <c r="O44" s="7">
        <v>0.38521400778210119</v>
      </c>
    </row>
    <row r="45" spans="1:15" x14ac:dyDescent="0.35">
      <c r="A45">
        <f t="shared" si="2"/>
        <v>1960.75</v>
      </c>
      <c r="B45" s="7">
        <v>0</v>
      </c>
      <c r="C45" s="7">
        <v>0</v>
      </c>
      <c r="D45" s="7">
        <v>0</v>
      </c>
      <c r="E45" s="7">
        <v>0</v>
      </c>
      <c r="F45" s="7">
        <f>DATA!E45</f>
        <v>0.12627502171110475</v>
      </c>
      <c r="G45" s="7">
        <f t="shared" si="0"/>
        <v>12.627502171110475</v>
      </c>
      <c r="H45" s="7">
        <f>DATA!F45</f>
        <v>0.38457272067920983</v>
      </c>
      <c r="I45" s="7">
        <f t="shared" si="1"/>
        <v>38.457272067920982</v>
      </c>
      <c r="J45" s="7">
        <v>0</v>
      </c>
      <c r="K45" s="7">
        <v>0</v>
      </c>
      <c r="L45" s="7">
        <v>0</v>
      </c>
      <c r="M45" s="7">
        <v>0</v>
      </c>
      <c r="N45" s="7">
        <v>0.14331603657029898</v>
      </c>
      <c r="O45" s="7">
        <v>0.38492871690427694</v>
      </c>
    </row>
    <row r="46" spans="1:15" x14ac:dyDescent="0.35">
      <c r="A46">
        <f t="shared" si="2"/>
        <v>1961</v>
      </c>
      <c r="B46" s="7">
        <v>0</v>
      </c>
      <c r="C46" s="7">
        <v>0</v>
      </c>
      <c r="D46" s="7">
        <v>0</v>
      </c>
      <c r="E46" s="7">
        <v>0</v>
      </c>
      <c r="F46" s="7">
        <f>DATA!E46</f>
        <v>0.12414283482635841</v>
      </c>
      <c r="G46" s="7">
        <f t="shared" si="0"/>
        <v>12.41428348263584</v>
      </c>
      <c r="H46" s="7">
        <f>DATA!F46</f>
        <v>0.38063307366137461</v>
      </c>
      <c r="I46" s="7">
        <f t="shared" si="1"/>
        <v>38.063307366137458</v>
      </c>
      <c r="J46" s="7">
        <v>0</v>
      </c>
      <c r="K46" s="7">
        <v>0</v>
      </c>
      <c r="L46" s="7">
        <v>0</v>
      </c>
      <c r="M46" s="7">
        <v>0</v>
      </c>
      <c r="N46" s="7">
        <v>0.14359351988217967</v>
      </c>
      <c r="O46" s="7">
        <v>0.38877338877338874</v>
      </c>
    </row>
    <row r="47" spans="1:15" x14ac:dyDescent="0.35">
      <c r="A47">
        <f t="shared" si="2"/>
        <v>1961.25</v>
      </c>
      <c r="B47" s="7">
        <v>0</v>
      </c>
      <c r="C47" s="7">
        <v>0</v>
      </c>
      <c r="D47" s="7">
        <v>0</v>
      </c>
      <c r="E47" s="7">
        <v>0</v>
      </c>
      <c r="F47" s="7">
        <f>DATA!E47</f>
        <v>0.12181181834722951</v>
      </c>
      <c r="G47" s="7">
        <f t="shared" si="0"/>
        <v>12.181181834722951</v>
      </c>
      <c r="H47" s="7">
        <f>DATA!F47</f>
        <v>0.38201376102335494</v>
      </c>
      <c r="I47" s="7">
        <f t="shared" si="1"/>
        <v>38.201376102335495</v>
      </c>
      <c r="J47" s="7">
        <v>0</v>
      </c>
      <c r="K47" s="7">
        <v>0</v>
      </c>
      <c r="L47" s="7">
        <v>0</v>
      </c>
      <c r="M47" s="7">
        <v>0</v>
      </c>
      <c r="N47" s="7">
        <v>0.14292635658914729</v>
      </c>
      <c r="O47" s="7">
        <v>0.38358778625954199</v>
      </c>
    </row>
    <row r="48" spans="1:15" x14ac:dyDescent="0.35">
      <c r="A48">
        <f t="shared" si="2"/>
        <v>1961.5</v>
      </c>
      <c r="B48" s="7">
        <v>0</v>
      </c>
      <c r="C48" s="7">
        <v>0</v>
      </c>
      <c r="D48" s="7">
        <v>0</v>
      </c>
      <c r="E48" s="7">
        <v>0</v>
      </c>
      <c r="F48" s="7">
        <f>DATA!E48</f>
        <v>0.12256771202233066</v>
      </c>
      <c r="G48" s="7">
        <f t="shared" si="0"/>
        <v>12.256771202233066</v>
      </c>
      <c r="H48" s="7">
        <f>DATA!F48</f>
        <v>0.38884538414687203</v>
      </c>
      <c r="I48" s="7">
        <f t="shared" si="1"/>
        <v>38.884538414687206</v>
      </c>
      <c r="J48" s="7">
        <v>0</v>
      </c>
      <c r="K48" s="7">
        <v>0</v>
      </c>
      <c r="L48" s="7">
        <v>0</v>
      </c>
      <c r="M48" s="7">
        <v>0</v>
      </c>
      <c r="N48" s="7">
        <v>0.14152966404574693</v>
      </c>
      <c r="O48" s="7">
        <v>0.39010989010989011</v>
      </c>
    </row>
    <row r="49" spans="1:15" x14ac:dyDescent="0.35">
      <c r="A49">
        <f t="shared" si="2"/>
        <v>1961.75</v>
      </c>
      <c r="B49" s="7">
        <v>0</v>
      </c>
      <c r="C49" s="7">
        <v>0</v>
      </c>
      <c r="D49" s="7">
        <v>0</v>
      </c>
      <c r="E49" s="7">
        <v>0</v>
      </c>
      <c r="F49" s="7">
        <f>DATA!E49</f>
        <v>0.12206488110111879</v>
      </c>
      <c r="G49" s="7">
        <f t="shared" si="0"/>
        <v>12.206488110111879</v>
      </c>
      <c r="H49" s="7">
        <f>DATA!F49</f>
        <v>0.39498336710893589</v>
      </c>
      <c r="I49" s="7">
        <f t="shared" si="1"/>
        <v>39.498336710893589</v>
      </c>
      <c r="J49" s="7">
        <v>0</v>
      </c>
      <c r="K49" s="7">
        <v>0</v>
      </c>
      <c r="L49" s="7">
        <v>0</v>
      </c>
      <c r="M49" s="7">
        <v>0</v>
      </c>
      <c r="N49" s="7">
        <v>0.1402609506057782</v>
      </c>
      <c r="O49" s="7">
        <v>0.39658119658119656</v>
      </c>
    </row>
    <row r="50" spans="1:15" x14ac:dyDescent="0.35">
      <c r="A50">
        <f t="shared" si="2"/>
        <v>1962</v>
      </c>
      <c r="B50" s="7">
        <v>0</v>
      </c>
      <c r="C50" s="7">
        <v>0</v>
      </c>
      <c r="D50" s="7">
        <v>0</v>
      </c>
      <c r="E50" s="7">
        <v>0</v>
      </c>
      <c r="F50" s="7">
        <f>DATA!E50</f>
        <v>0.12793542819432457</v>
      </c>
      <c r="G50" s="7">
        <f t="shared" si="0"/>
        <v>12.793542819432457</v>
      </c>
      <c r="H50" s="7">
        <f>DATA!F50</f>
        <v>0.38845447010918521</v>
      </c>
      <c r="I50" s="7">
        <f t="shared" si="1"/>
        <v>38.845447010918519</v>
      </c>
      <c r="J50" s="7">
        <v>0</v>
      </c>
      <c r="K50" s="7">
        <v>0</v>
      </c>
      <c r="L50" s="7">
        <v>0</v>
      </c>
      <c r="M50" s="7">
        <v>0</v>
      </c>
      <c r="N50" s="7">
        <v>0.14416475972540047</v>
      </c>
      <c r="O50" s="7">
        <v>0.35303776683087024</v>
      </c>
    </row>
    <row r="51" spans="1:15" x14ac:dyDescent="0.35">
      <c r="A51">
        <f t="shared" si="2"/>
        <v>1962.25</v>
      </c>
      <c r="B51" s="7">
        <v>0</v>
      </c>
      <c r="C51" s="7">
        <v>0</v>
      </c>
      <c r="D51" s="7">
        <v>0</v>
      </c>
      <c r="E51" s="7">
        <v>0</v>
      </c>
      <c r="F51" s="7">
        <f>DATA!E51</f>
        <v>0.12870964775588215</v>
      </c>
      <c r="G51" s="7">
        <f t="shared" si="0"/>
        <v>12.870964775588215</v>
      </c>
      <c r="H51" s="7">
        <f>DATA!F51</f>
        <v>0.39080764263717338</v>
      </c>
      <c r="I51" s="7">
        <f t="shared" si="1"/>
        <v>39.080764263717342</v>
      </c>
      <c r="J51" s="7">
        <v>0</v>
      </c>
      <c r="K51" s="7">
        <v>0</v>
      </c>
      <c r="L51" s="7">
        <v>0</v>
      </c>
      <c r="M51" s="7">
        <v>0</v>
      </c>
      <c r="N51" s="7">
        <v>0.14529914529914528</v>
      </c>
      <c r="O51" s="7">
        <v>0.35440931780366058</v>
      </c>
    </row>
    <row r="52" spans="1:15" x14ac:dyDescent="0.35">
      <c r="A52">
        <f t="shared" si="2"/>
        <v>1962.5</v>
      </c>
      <c r="B52" s="7">
        <v>0</v>
      </c>
      <c r="C52" s="7">
        <v>-2.2131147540983607</v>
      </c>
      <c r="D52" s="7">
        <v>0</v>
      </c>
      <c r="E52" s="7">
        <v>-1.3396999999999999</v>
      </c>
      <c r="F52" s="7">
        <f>DATA!E52</f>
        <v>0.12886265537714245</v>
      </c>
      <c r="G52" s="7">
        <f t="shared" si="0"/>
        <v>12.886265537714245</v>
      </c>
      <c r="H52" s="7">
        <f>DATA!F52</f>
        <v>0.38306843388513084</v>
      </c>
      <c r="I52" s="7">
        <f t="shared" si="1"/>
        <v>38.306843388513087</v>
      </c>
      <c r="J52" s="7">
        <v>0</v>
      </c>
      <c r="K52" s="7">
        <v>-2.2131147540983607</v>
      </c>
      <c r="L52" s="7">
        <v>0</v>
      </c>
      <c r="M52" s="7">
        <v>-1.430352621173878</v>
      </c>
      <c r="N52" s="7">
        <v>0.14680329694809535</v>
      </c>
      <c r="O52" s="7">
        <v>0.35725938009787922</v>
      </c>
    </row>
    <row r="53" spans="1:15" x14ac:dyDescent="0.35">
      <c r="A53">
        <f t="shared" si="2"/>
        <v>1962.75</v>
      </c>
      <c r="B53" s="7">
        <v>0</v>
      </c>
      <c r="C53" s="7">
        <v>-1.4469453376205788</v>
      </c>
      <c r="D53" s="7">
        <v>0</v>
      </c>
      <c r="E53" s="7">
        <v>-0.57350000000000012</v>
      </c>
      <c r="F53" s="7">
        <f>DATA!E53</f>
        <v>0.12964005390296979</v>
      </c>
      <c r="G53" s="7">
        <f t="shared" si="0"/>
        <v>12.964005390296979</v>
      </c>
      <c r="H53" s="7">
        <f>DATA!F53</f>
        <v>0.37910358267126365</v>
      </c>
      <c r="I53" s="7">
        <f t="shared" si="1"/>
        <v>37.910358267126362</v>
      </c>
      <c r="J53" s="7">
        <v>0</v>
      </c>
      <c r="K53" s="7">
        <v>-1.4469453376205788</v>
      </c>
      <c r="L53" s="7">
        <v>0</v>
      </c>
      <c r="M53" s="7">
        <v>-0.66418320469609604</v>
      </c>
      <c r="N53" s="7">
        <v>0.14791987673343607</v>
      </c>
      <c r="O53" s="7">
        <v>0.34591194968553457</v>
      </c>
    </row>
    <row r="54" spans="1:15" x14ac:dyDescent="0.35">
      <c r="A54">
        <f t="shared" si="2"/>
        <v>1963</v>
      </c>
      <c r="B54" s="7">
        <v>0</v>
      </c>
      <c r="C54" s="7">
        <v>0</v>
      </c>
      <c r="D54" s="7">
        <v>0</v>
      </c>
      <c r="E54" s="7">
        <v>0</v>
      </c>
      <c r="F54" s="7">
        <f>DATA!E54</f>
        <v>0.13708355434164324</v>
      </c>
      <c r="G54" s="7">
        <f t="shared" si="0"/>
        <v>13.708355434164323</v>
      </c>
      <c r="H54" s="7">
        <f>DATA!F54</f>
        <v>0.38626697063527171</v>
      </c>
      <c r="I54" s="7">
        <f t="shared" si="1"/>
        <v>38.626697063527175</v>
      </c>
      <c r="J54" s="7">
        <v>0</v>
      </c>
      <c r="K54" s="7">
        <v>0</v>
      </c>
      <c r="L54" s="7">
        <v>0</v>
      </c>
      <c r="M54" s="7">
        <v>0</v>
      </c>
      <c r="N54" s="7">
        <v>0.15130434782608693</v>
      </c>
      <c r="O54" s="7">
        <v>0.34482758620689652</v>
      </c>
    </row>
    <row r="55" spans="1:15" x14ac:dyDescent="0.35">
      <c r="A55">
        <f t="shared" si="2"/>
        <v>1963.25</v>
      </c>
      <c r="B55" s="7">
        <v>0</v>
      </c>
      <c r="C55" s="7">
        <v>0</v>
      </c>
      <c r="D55" s="7">
        <v>0</v>
      </c>
      <c r="E55" s="7">
        <v>0</v>
      </c>
      <c r="F55" s="7">
        <f>DATA!E55</f>
        <v>0.13711668006345099</v>
      </c>
      <c r="G55" s="7">
        <f t="shared" si="0"/>
        <v>13.711668006345098</v>
      </c>
      <c r="H55" s="7">
        <f>DATA!F55</f>
        <v>0.38164180201366943</v>
      </c>
      <c r="I55" s="7">
        <f t="shared" si="1"/>
        <v>38.164180201366946</v>
      </c>
      <c r="J55" s="7">
        <v>0</v>
      </c>
      <c r="K55" s="7">
        <v>0</v>
      </c>
      <c r="L55" s="7">
        <v>0</v>
      </c>
      <c r="M55" s="7">
        <v>0</v>
      </c>
      <c r="N55" s="7">
        <v>0.15024683408456749</v>
      </c>
      <c r="O55" s="7">
        <v>0.35119047619047628</v>
      </c>
    </row>
    <row r="56" spans="1:15" x14ac:dyDescent="0.35">
      <c r="A56">
        <f t="shared" si="2"/>
        <v>1963.5</v>
      </c>
      <c r="B56" s="7">
        <v>0</v>
      </c>
      <c r="C56" s="7">
        <v>0</v>
      </c>
      <c r="D56" s="7">
        <v>0</v>
      </c>
      <c r="E56" s="7">
        <v>0</v>
      </c>
      <c r="F56" s="7">
        <f>DATA!E56</f>
        <v>0.13736907216494848</v>
      </c>
      <c r="G56" s="7">
        <f t="shared" si="0"/>
        <v>13.736907216494847</v>
      </c>
      <c r="H56" s="7">
        <f>DATA!F56</f>
        <v>0.38048125778928199</v>
      </c>
      <c r="I56" s="7">
        <f t="shared" si="1"/>
        <v>38.048125778928195</v>
      </c>
      <c r="J56" s="7">
        <v>0</v>
      </c>
      <c r="K56" s="7">
        <v>0</v>
      </c>
      <c r="L56" s="7">
        <v>0</v>
      </c>
      <c r="M56" s="7">
        <v>0</v>
      </c>
      <c r="N56" s="7">
        <v>0.14862579281183932</v>
      </c>
      <c r="O56" s="7">
        <v>0.35474452554744529</v>
      </c>
    </row>
    <row r="57" spans="1:15" x14ac:dyDescent="0.35">
      <c r="A57">
        <f t="shared" si="2"/>
        <v>1963.75</v>
      </c>
      <c r="B57" s="7">
        <v>0</v>
      </c>
      <c r="C57" s="7">
        <v>0</v>
      </c>
      <c r="D57" s="7">
        <v>0</v>
      </c>
      <c r="E57" s="7">
        <v>0</v>
      </c>
      <c r="F57" s="7">
        <f>DATA!E57</f>
        <v>0.13632328280669451</v>
      </c>
      <c r="G57" s="7">
        <f t="shared" si="0"/>
        <v>13.632328280669451</v>
      </c>
      <c r="H57" s="7">
        <f>DATA!F57</f>
        <v>0.37722277722277725</v>
      </c>
      <c r="I57" s="7">
        <f t="shared" si="1"/>
        <v>37.722277722277724</v>
      </c>
      <c r="J57" s="7">
        <v>0</v>
      </c>
      <c r="K57" s="7">
        <v>0</v>
      </c>
      <c r="L57" s="7">
        <v>0</v>
      </c>
      <c r="M57" s="7">
        <v>0</v>
      </c>
      <c r="N57" s="7">
        <v>0.14730290456431536</v>
      </c>
      <c r="O57" s="7">
        <v>0.35428571428571431</v>
      </c>
    </row>
    <row r="58" spans="1:15" x14ac:dyDescent="0.35">
      <c r="A58">
        <f t="shared" si="2"/>
        <v>1964</v>
      </c>
      <c r="B58" s="7">
        <v>0</v>
      </c>
      <c r="C58" s="7">
        <v>0</v>
      </c>
      <c r="D58" s="7">
        <v>0</v>
      </c>
      <c r="E58" s="7">
        <v>0</v>
      </c>
      <c r="F58" s="7">
        <f>DATA!E58</f>
        <v>0.13580866832184935</v>
      </c>
      <c r="G58" s="7">
        <f t="shared" si="0"/>
        <v>13.580866832184935</v>
      </c>
      <c r="H58" s="7">
        <f>DATA!F58</f>
        <v>0.38016226438113832</v>
      </c>
      <c r="I58" s="7">
        <f t="shared" si="1"/>
        <v>38.016226438113833</v>
      </c>
      <c r="J58" s="7">
        <v>0</v>
      </c>
      <c r="K58" s="7">
        <v>0</v>
      </c>
      <c r="L58" s="7">
        <v>0</v>
      </c>
      <c r="M58" s="7">
        <v>0</v>
      </c>
      <c r="N58" s="7">
        <v>0.14148827726809379</v>
      </c>
      <c r="O58" s="7">
        <v>0.32928475033738186</v>
      </c>
    </row>
    <row r="59" spans="1:15" x14ac:dyDescent="0.35">
      <c r="A59">
        <f t="shared" si="2"/>
        <v>1964.25</v>
      </c>
      <c r="B59" s="7">
        <v>-1.3701431492842535</v>
      </c>
      <c r="C59" s="7">
        <v>-2.2606382978723403</v>
      </c>
      <c r="D59" s="7">
        <v>-1.1219000000000001</v>
      </c>
      <c r="E59" s="7">
        <v>-1.3872000000000002</v>
      </c>
      <c r="F59" s="7">
        <f>DATA!E59</f>
        <v>0.13496617595834787</v>
      </c>
      <c r="G59" s="7">
        <f t="shared" si="0"/>
        <v>13.496617595834786</v>
      </c>
      <c r="H59" s="7">
        <f>DATA!F59</f>
        <v>0.38529609367501677</v>
      </c>
      <c r="I59" s="7">
        <f t="shared" si="1"/>
        <v>38.529609367501678</v>
      </c>
      <c r="J59" s="7">
        <v>-1.3701431492842535</v>
      </c>
      <c r="K59" s="7">
        <v>-2.2606382978723403</v>
      </c>
      <c r="L59" s="7">
        <v>-1.0909392420738049</v>
      </c>
      <c r="M59" s="7">
        <v>-1.4778761649478576</v>
      </c>
      <c r="N59" s="7">
        <v>0.13066933066933067</v>
      </c>
      <c r="O59" s="7">
        <v>0.32972972972972969</v>
      </c>
    </row>
    <row r="60" spans="1:15" x14ac:dyDescent="0.35">
      <c r="A60">
        <f t="shared" si="2"/>
        <v>1964.5</v>
      </c>
      <c r="B60" s="7">
        <v>0</v>
      </c>
      <c r="C60" s="7">
        <v>0</v>
      </c>
      <c r="D60" s="7">
        <v>0</v>
      </c>
      <c r="E60" s="7">
        <v>0</v>
      </c>
      <c r="F60" s="7">
        <f>DATA!E60</f>
        <v>0.13378375940392212</v>
      </c>
      <c r="G60" s="7">
        <f t="shared" si="0"/>
        <v>13.378375940392212</v>
      </c>
      <c r="H60" s="7">
        <f>DATA!F60</f>
        <v>0.38682245198335546</v>
      </c>
      <c r="I60" s="7">
        <f t="shared" si="1"/>
        <v>38.682245198335544</v>
      </c>
      <c r="J60" s="7">
        <v>0</v>
      </c>
      <c r="K60" s="7">
        <v>0</v>
      </c>
      <c r="L60" s="7">
        <v>0</v>
      </c>
      <c r="M60" s="7">
        <v>0</v>
      </c>
      <c r="N60" s="7">
        <v>0.13203845399254463</v>
      </c>
      <c r="O60" s="7">
        <v>0.33155792276964047</v>
      </c>
    </row>
    <row r="61" spans="1:15" x14ac:dyDescent="0.35">
      <c r="A61">
        <f t="shared" si="2"/>
        <v>1964.75</v>
      </c>
      <c r="B61" s="7">
        <v>0</v>
      </c>
      <c r="C61" s="7">
        <v>0</v>
      </c>
      <c r="D61" s="7">
        <v>0</v>
      </c>
      <c r="E61" s="7">
        <v>0</v>
      </c>
      <c r="F61" s="7">
        <f>DATA!E61</f>
        <v>0.13306243906537057</v>
      </c>
      <c r="G61" s="7">
        <f t="shared" si="0"/>
        <v>13.306243906537057</v>
      </c>
      <c r="H61" s="7">
        <f>DATA!F61</f>
        <v>0.39048405860632934</v>
      </c>
      <c r="I61" s="7">
        <f t="shared" si="1"/>
        <v>39.048405860632933</v>
      </c>
      <c r="J61" s="7">
        <v>0</v>
      </c>
      <c r="K61" s="7">
        <v>0</v>
      </c>
      <c r="L61" s="7">
        <v>0</v>
      </c>
      <c r="M61" s="7">
        <v>0</v>
      </c>
      <c r="N61" s="7">
        <v>0.13310185185185186</v>
      </c>
      <c r="O61" s="7">
        <v>0.330188679245283</v>
      </c>
    </row>
    <row r="62" spans="1:15" x14ac:dyDescent="0.35">
      <c r="A62">
        <f t="shared" si="2"/>
        <v>1965</v>
      </c>
      <c r="B62" s="7">
        <v>0</v>
      </c>
      <c r="C62" s="7">
        <v>0</v>
      </c>
      <c r="D62" s="7">
        <v>0</v>
      </c>
      <c r="E62" s="7">
        <v>0</v>
      </c>
      <c r="F62" s="7">
        <f>DATA!E62</f>
        <v>0.13697192680723219</v>
      </c>
      <c r="G62" s="7">
        <f t="shared" si="0"/>
        <v>13.697192680723219</v>
      </c>
      <c r="H62" s="7">
        <f>DATA!F62</f>
        <v>0.36914638327048338</v>
      </c>
      <c r="I62" s="7">
        <f t="shared" si="1"/>
        <v>36.914638327048337</v>
      </c>
      <c r="J62" s="7">
        <v>0</v>
      </c>
      <c r="K62" s="7">
        <v>0</v>
      </c>
      <c r="L62" s="7">
        <v>0</v>
      </c>
      <c r="M62" s="7">
        <v>0</v>
      </c>
      <c r="N62" s="7">
        <v>0.13787878787878791</v>
      </c>
      <c r="O62" s="7">
        <v>0.32073170731707318</v>
      </c>
    </row>
    <row r="63" spans="1:15" x14ac:dyDescent="0.35">
      <c r="A63">
        <f t="shared" si="2"/>
        <v>1965.25</v>
      </c>
      <c r="B63" s="7">
        <v>0</v>
      </c>
      <c r="C63" s="7">
        <v>0</v>
      </c>
      <c r="D63" s="7">
        <v>0</v>
      </c>
      <c r="E63" s="7">
        <v>0</v>
      </c>
      <c r="F63" s="7">
        <f>DATA!E63</f>
        <v>0.13825816818425279</v>
      </c>
      <c r="G63" s="7">
        <f t="shared" si="0"/>
        <v>13.825816818425279</v>
      </c>
      <c r="H63" s="7">
        <f>DATA!F63</f>
        <v>0.36652535070485642</v>
      </c>
      <c r="I63" s="7">
        <f t="shared" si="1"/>
        <v>36.652535070485641</v>
      </c>
      <c r="J63" s="7">
        <v>0</v>
      </c>
      <c r="K63" s="7">
        <v>0</v>
      </c>
      <c r="L63" s="7">
        <v>0</v>
      </c>
      <c r="M63" s="7">
        <v>0</v>
      </c>
      <c r="N63" s="7">
        <v>0.1383413908516177</v>
      </c>
      <c r="O63" s="7">
        <v>0.32223543400713434</v>
      </c>
    </row>
    <row r="64" spans="1:15" x14ac:dyDescent="0.35">
      <c r="A64">
        <f t="shared" si="2"/>
        <v>1965.5</v>
      </c>
      <c r="B64" s="7">
        <v>0</v>
      </c>
      <c r="C64" s="7">
        <v>0</v>
      </c>
      <c r="D64" s="7">
        <v>0</v>
      </c>
      <c r="E64" s="7">
        <v>0</v>
      </c>
      <c r="F64" s="7">
        <f>DATA!E64</f>
        <v>0.13966578790533132</v>
      </c>
      <c r="G64" s="7">
        <f t="shared" si="0"/>
        <v>13.966578790533132</v>
      </c>
      <c r="H64" s="7">
        <f>DATA!F64</f>
        <v>0.36668507455193533</v>
      </c>
      <c r="I64" s="7">
        <f t="shared" si="1"/>
        <v>36.668507455193534</v>
      </c>
      <c r="J64" s="7">
        <v>0</v>
      </c>
      <c r="K64" s="7">
        <v>0</v>
      </c>
      <c r="L64" s="7">
        <v>0</v>
      </c>
      <c r="M64" s="7">
        <v>0</v>
      </c>
      <c r="N64" s="7">
        <v>0.13363719234275295</v>
      </c>
      <c r="O64" s="7">
        <v>0.32356389214536929</v>
      </c>
    </row>
    <row r="65" spans="1:15" x14ac:dyDescent="0.35">
      <c r="A65">
        <f t="shared" si="2"/>
        <v>1965.75</v>
      </c>
      <c r="B65" s="7">
        <v>0</v>
      </c>
      <c r="C65" s="7">
        <v>0</v>
      </c>
      <c r="D65" s="7">
        <v>0</v>
      </c>
      <c r="E65" s="7">
        <v>0</v>
      </c>
      <c r="F65" s="7">
        <f>DATA!E65</f>
        <v>0.14042799015421711</v>
      </c>
      <c r="G65" s="7">
        <f t="shared" si="0"/>
        <v>14.042799015421711</v>
      </c>
      <c r="H65" s="7">
        <f>DATA!F65</f>
        <v>0.3619468151711866</v>
      </c>
      <c r="I65" s="7">
        <f t="shared" si="1"/>
        <v>36.19468151711866</v>
      </c>
      <c r="J65" s="7">
        <v>0</v>
      </c>
      <c r="K65" s="7">
        <v>0</v>
      </c>
      <c r="L65" s="7">
        <v>0</v>
      </c>
      <c r="M65" s="7">
        <v>0</v>
      </c>
      <c r="N65" s="7">
        <v>0.1328125</v>
      </c>
      <c r="O65" s="7">
        <v>0.32922732362821949</v>
      </c>
    </row>
    <row r="66" spans="1:15" x14ac:dyDescent="0.35">
      <c r="A66">
        <f t="shared" si="2"/>
        <v>1966</v>
      </c>
      <c r="B66" s="7">
        <v>0</v>
      </c>
      <c r="C66" s="7">
        <v>0</v>
      </c>
      <c r="D66" s="7">
        <v>0</v>
      </c>
      <c r="E66" s="7">
        <v>0</v>
      </c>
      <c r="F66" s="7">
        <f>DATA!E66</f>
        <v>0.1439794043144981</v>
      </c>
      <c r="G66" s="7">
        <f t="shared" ref="G66:G129" si="3">F66*100</f>
        <v>14.397940431449809</v>
      </c>
      <c r="H66" s="7">
        <f>DATA!F66</f>
        <v>0.36486397034487322</v>
      </c>
      <c r="I66" s="7">
        <f t="shared" si="1"/>
        <v>36.486397034487325</v>
      </c>
      <c r="J66" s="7">
        <v>0</v>
      </c>
      <c r="K66" s="7">
        <v>0</v>
      </c>
      <c r="L66" s="7">
        <v>0</v>
      </c>
      <c r="M66" s="7">
        <v>0</v>
      </c>
      <c r="N66" s="7">
        <v>0.14482521095229892</v>
      </c>
      <c r="O66" s="7">
        <v>0.32683982683982682</v>
      </c>
    </row>
    <row r="67" spans="1:15" x14ac:dyDescent="0.35">
      <c r="A67">
        <f t="shared" si="2"/>
        <v>1966.25</v>
      </c>
      <c r="B67" s="7">
        <v>0</v>
      </c>
      <c r="C67" s="7">
        <v>0</v>
      </c>
      <c r="D67" s="7">
        <v>0</v>
      </c>
      <c r="E67" s="7">
        <v>0</v>
      </c>
      <c r="F67" s="7">
        <f>DATA!E67</f>
        <v>0.14328859747976641</v>
      </c>
      <c r="G67" s="7">
        <f t="shared" si="3"/>
        <v>14.32885974797664</v>
      </c>
      <c r="H67" s="7">
        <f>DATA!F67</f>
        <v>0.36875624375624377</v>
      </c>
      <c r="I67" s="7">
        <f t="shared" ref="I67:I130" si="4">H67*100</f>
        <v>36.875624375624376</v>
      </c>
      <c r="J67" s="7">
        <v>0</v>
      </c>
      <c r="K67" s="7">
        <v>0</v>
      </c>
      <c r="L67" s="7">
        <v>0</v>
      </c>
      <c r="M67" s="7">
        <v>0</v>
      </c>
      <c r="N67" s="7">
        <v>0.14917033525228579</v>
      </c>
      <c r="O67" s="7">
        <v>0.33114035087719296</v>
      </c>
    </row>
    <row r="68" spans="1:15" x14ac:dyDescent="0.35">
      <c r="A68">
        <f t="shared" ref="A68:A131" si="5">A67+0.25</f>
        <v>1966.5</v>
      </c>
      <c r="B68" s="7">
        <v>0</v>
      </c>
      <c r="C68" s="7">
        <v>0</v>
      </c>
      <c r="D68" s="7">
        <v>0</v>
      </c>
      <c r="E68" s="7">
        <v>0</v>
      </c>
      <c r="F68" s="7">
        <f>DATA!E68</f>
        <v>0.14178685525268883</v>
      </c>
      <c r="G68" s="7">
        <f t="shared" si="3"/>
        <v>14.178685525268882</v>
      </c>
      <c r="H68" s="7">
        <f>DATA!F68</f>
        <v>0.36929252383341693</v>
      </c>
      <c r="I68" s="7">
        <f t="shared" si="4"/>
        <v>36.929252383341691</v>
      </c>
      <c r="J68" s="7">
        <v>0</v>
      </c>
      <c r="K68" s="7">
        <v>0</v>
      </c>
      <c r="L68" s="7">
        <v>0</v>
      </c>
      <c r="M68" s="7">
        <v>0</v>
      </c>
      <c r="N68" s="7">
        <v>0.15086206896551724</v>
      </c>
      <c r="O68" s="7">
        <v>0.33258678611422171</v>
      </c>
    </row>
    <row r="69" spans="1:15" x14ac:dyDescent="0.35">
      <c r="A69">
        <f t="shared" si="5"/>
        <v>1966.75</v>
      </c>
      <c r="B69" s="7">
        <v>0</v>
      </c>
      <c r="C69" s="7">
        <v>0</v>
      </c>
      <c r="D69" s="7">
        <v>0</v>
      </c>
      <c r="E69" s="7">
        <v>0</v>
      </c>
      <c r="F69" s="7">
        <f>DATA!E69</f>
        <v>0.1406864299302473</v>
      </c>
      <c r="G69" s="7">
        <f t="shared" si="3"/>
        <v>14.06864299302473</v>
      </c>
      <c r="H69" s="7">
        <f>DATA!F69</f>
        <v>0.36840543587917635</v>
      </c>
      <c r="I69" s="7">
        <f t="shared" si="4"/>
        <v>36.840543587917637</v>
      </c>
      <c r="J69" s="7">
        <v>0</v>
      </c>
      <c r="K69" s="7">
        <v>0</v>
      </c>
      <c r="L69" s="7">
        <v>0</v>
      </c>
      <c r="M69" s="7">
        <v>0</v>
      </c>
      <c r="N69" s="7">
        <v>0.15282988093296362</v>
      </c>
      <c r="O69" s="7">
        <v>0.32044198895027626</v>
      </c>
    </row>
    <row r="70" spans="1:15" x14ac:dyDescent="0.35">
      <c r="A70">
        <f t="shared" si="5"/>
        <v>1967</v>
      </c>
      <c r="B70" s="7">
        <v>0</v>
      </c>
      <c r="C70" s="7">
        <v>0</v>
      </c>
      <c r="D70" s="7">
        <v>0</v>
      </c>
      <c r="E70" s="7">
        <v>0</v>
      </c>
      <c r="F70" s="7">
        <f>DATA!E70</f>
        <v>0.13491083289409447</v>
      </c>
      <c r="G70" s="7">
        <f t="shared" si="3"/>
        <v>13.491083289409447</v>
      </c>
      <c r="H70" s="7">
        <f>DATA!F70</f>
        <v>0.34472141797895628</v>
      </c>
      <c r="I70" s="7">
        <f t="shared" si="4"/>
        <v>34.472141797895631</v>
      </c>
      <c r="J70" s="7">
        <v>0</v>
      </c>
      <c r="K70" s="7">
        <v>0</v>
      </c>
      <c r="L70" s="7">
        <v>0</v>
      </c>
      <c r="M70" s="7">
        <v>0</v>
      </c>
      <c r="N70" s="7">
        <v>0.15399453464073298</v>
      </c>
      <c r="O70" s="7">
        <v>0.31698973774230338</v>
      </c>
    </row>
    <row r="71" spans="1:15" x14ac:dyDescent="0.35">
      <c r="A71">
        <f t="shared" si="5"/>
        <v>1967.25</v>
      </c>
      <c r="B71" s="7">
        <v>0</v>
      </c>
      <c r="C71" s="7">
        <v>0</v>
      </c>
      <c r="D71" s="7">
        <v>0</v>
      </c>
      <c r="E71" s="7">
        <v>0</v>
      </c>
      <c r="F71" s="7">
        <f>DATA!E71</f>
        <v>0.12476865159933608</v>
      </c>
      <c r="G71" s="7">
        <f t="shared" si="3"/>
        <v>12.476865159933608</v>
      </c>
      <c r="H71" s="7">
        <f>DATA!F71</f>
        <v>0.34470387163297883</v>
      </c>
      <c r="I71" s="7">
        <f t="shared" si="4"/>
        <v>34.470387163297886</v>
      </c>
      <c r="J71" s="7">
        <v>0</v>
      </c>
      <c r="K71" s="7">
        <v>0</v>
      </c>
      <c r="L71" s="7">
        <v>0</v>
      </c>
      <c r="M71" s="7">
        <v>0</v>
      </c>
      <c r="N71" s="7">
        <v>0.15325914149443562</v>
      </c>
      <c r="O71" s="7">
        <v>0.31755196304849886</v>
      </c>
    </row>
    <row r="72" spans="1:15" x14ac:dyDescent="0.35">
      <c r="A72">
        <f t="shared" si="5"/>
        <v>1967.5</v>
      </c>
      <c r="B72" s="7">
        <v>0</v>
      </c>
      <c r="C72" s="7">
        <v>-1.807909604519774</v>
      </c>
      <c r="D72" s="7">
        <v>0</v>
      </c>
      <c r="E72" s="7">
        <v>-0.93450000000000011</v>
      </c>
      <c r="F72" s="7">
        <f>DATA!E72</f>
        <v>0.12601798327712777</v>
      </c>
      <c r="G72" s="7">
        <f t="shared" si="3"/>
        <v>12.601798327712777</v>
      </c>
      <c r="H72" s="7">
        <f>DATA!F72</f>
        <v>0.34403796280968935</v>
      </c>
      <c r="I72" s="7">
        <f t="shared" si="4"/>
        <v>34.403796280968933</v>
      </c>
      <c r="J72" s="7">
        <v>0</v>
      </c>
      <c r="K72" s="7">
        <v>-1.807909604519774</v>
      </c>
      <c r="L72" s="7">
        <v>0</v>
      </c>
      <c r="M72" s="7">
        <v>-1.0251474715952913</v>
      </c>
      <c r="N72" s="7">
        <v>0.15532014332450539</v>
      </c>
      <c r="O72" s="7">
        <v>0.31662870159453305</v>
      </c>
    </row>
    <row r="73" spans="1:15" x14ac:dyDescent="0.35">
      <c r="A73">
        <f t="shared" si="5"/>
        <v>1967.75</v>
      </c>
      <c r="B73" s="7">
        <v>0</v>
      </c>
      <c r="C73" s="7">
        <v>0</v>
      </c>
      <c r="D73" s="7">
        <v>0</v>
      </c>
      <c r="E73" s="7">
        <v>0</v>
      </c>
      <c r="F73" s="7">
        <f>DATA!E73</f>
        <v>0.12711617315435747</v>
      </c>
      <c r="G73" s="7">
        <f t="shared" si="3"/>
        <v>12.711617315435747</v>
      </c>
      <c r="H73" s="7">
        <f>DATA!F73</f>
        <v>0.34152601478588368</v>
      </c>
      <c r="I73" s="7">
        <f t="shared" si="4"/>
        <v>34.152601478588366</v>
      </c>
      <c r="J73" s="7">
        <v>0</v>
      </c>
      <c r="K73" s="7">
        <v>0</v>
      </c>
      <c r="L73" s="7">
        <v>0</v>
      </c>
      <c r="M73" s="7">
        <v>0</v>
      </c>
      <c r="N73" s="7">
        <v>0.15645111860251304</v>
      </c>
      <c r="O73" s="7">
        <v>0.32378854625550657</v>
      </c>
    </row>
    <row r="74" spans="1:15" x14ac:dyDescent="0.35">
      <c r="A74">
        <f t="shared" si="5"/>
        <v>1968</v>
      </c>
      <c r="B74" s="7">
        <v>0</v>
      </c>
      <c r="C74" s="7">
        <v>0</v>
      </c>
      <c r="D74" s="7">
        <v>0</v>
      </c>
      <c r="E74" s="7">
        <v>0</v>
      </c>
      <c r="F74" s="7">
        <f>DATA!E74</f>
        <v>0.13141067372654544</v>
      </c>
      <c r="G74" s="7">
        <f t="shared" si="3"/>
        <v>13.141067372654543</v>
      </c>
      <c r="H74" s="7">
        <f>DATA!F74</f>
        <v>0.33252786458003869</v>
      </c>
      <c r="I74" s="7">
        <f t="shared" si="4"/>
        <v>33.252786458003868</v>
      </c>
      <c r="J74" s="7">
        <v>0</v>
      </c>
      <c r="K74" s="7">
        <v>0</v>
      </c>
      <c r="L74" s="7">
        <v>0</v>
      </c>
      <c r="M74" s="7">
        <v>0</v>
      </c>
      <c r="N74" s="7">
        <v>0.15733015494636474</v>
      </c>
      <c r="O74" s="7">
        <v>0.36026200873362441</v>
      </c>
    </row>
    <row r="75" spans="1:15" x14ac:dyDescent="0.35">
      <c r="A75">
        <f t="shared" si="5"/>
        <v>1968.25</v>
      </c>
      <c r="B75" s="7">
        <v>0</v>
      </c>
      <c r="C75" s="7">
        <v>0</v>
      </c>
      <c r="D75" s="7">
        <v>0</v>
      </c>
      <c r="E75" s="7">
        <v>0</v>
      </c>
      <c r="F75" s="7">
        <f>DATA!E75</f>
        <v>0.13209519272473888</v>
      </c>
      <c r="G75" s="7">
        <f t="shared" si="3"/>
        <v>13.209519272473887</v>
      </c>
      <c r="H75" s="7">
        <f>DATA!F75</f>
        <v>0.33132044104344427</v>
      </c>
      <c r="I75" s="7">
        <f t="shared" si="4"/>
        <v>33.13204410434443</v>
      </c>
      <c r="J75" s="7">
        <v>0</v>
      </c>
      <c r="K75" s="7">
        <v>0</v>
      </c>
      <c r="L75" s="7">
        <v>0</v>
      </c>
      <c r="M75" s="7">
        <v>0</v>
      </c>
      <c r="N75" s="7">
        <v>0.15838419064225517</v>
      </c>
      <c r="O75" s="7">
        <v>0.35189075630252098</v>
      </c>
    </row>
    <row r="76" spans="1:15" x14ac:dyDescent="0.35">
      <c r="A76">
        <f t="shared" si="5"/>
        <v>1968.5</v>
      </c>
      <c r="B76" s="7">
        <v>0</v>
      </c>
      <c r="C76" s="7">
        <v>0</v>
      </c>
      <c r="D76" s="7">
        <v>0</v>
      </c>
      <c r="E76" s="7">
        <v>0</v>
      </c>
      <c r="F76" s="7">
        <f>DATA!E76</f>
        <v>0.12684357600005547</v>
      </c>
      <c r="G76" s="7">
        <f t="shared" si="3"/>
        <v>12.684357600005548</v>
      </c>
      <c r="H76" s="7">
        <f>DATA!F76</f>
        <v>0.33137601018288365</v>
      </c>
      <c r="I76" s="7">
        <f t="shared" si="4"/>
        <v>33.137601018288365</v>
      </c>
      <c r="J76" s="7">
        <v>0</v>
      </c>
      <c r="K76" s="7">
        <v>0</v>
      </c>
      <c r="L76" s="7">
        <v>0</v>
      </c>
      <c r="M76" s="7">
        <v>0</v>
      </c>
      <c r="N76" s="7">
        <v>0.16909992912827781</v>
      </c>
      <c r="O76" s="7">
        <v>0.35152151101783835</v>
      </c>
    </row>
    <row r="77" spans="1:15" x14ac:dyDescent="0.35">
      <c r="A77">
        <f t="shared" si="5"/>
        <v>1968.75</v>
      </c>
      <c r="B77" s="7">
        <v>0</v>
      </c>
      <c r="C77" s="7">
        <v>0</v>
      </c>
      <c r="D77" s="7">
        <v>0</v>
      </c>
      <c r="E77" s="7">
        <v>0</v>
      </c>
      <c r="F77" s="7">
        <f>DATA!E77</f>
        <v>0.12664936261919124</v>
      </c>
      <c r="G77" s="7">
        <f t="shared" si="3"/>
        <v>12.664936261919124</v>
      </c>
      <c r="H77" s="7">
        <f>DATA!F77</f>
        <v>0.33317858072990386</v>
      </c>
      <c r="I77" s="7">
        <f t="shared" si="4"/>
        <v>33.317858072990383</v>
      </c>
      <c r="J77" s="7">
        <v>0</v>
      </c>
      <c r="K77" s="7">
        <v>0</v>
      </c>
      <c r="L77" s="7">
        <v>0</v>
      </c>
      <c r="M77" s="7">
        <v>0</v>
      </c>
      <c r="N77" s="7">
        <v>0.17136508818219695</v>
      </c>
      <c r="O77" s="7">
        <v>0.35537190082644621</v>
      </c>
    </row>
    <row r="78" spans="1:15" x14ac:dyDescent="0.35">
      <c r="A78">
        <f t="shared" si="5"/>
        <v>1969</v>
      </c>
      <c r="B78" s="7">
        <v>0</v>
      </c>
      <c r="C78" s="7">
        <v>0</v>
      </c>
      <c r="D78" s="7">
        <v>0</v>
      </c>
      <c r="E78" s="7">
        <v>0</v>
      </c>
      <c r="F78" s="7">
        <f>DATA!E78</f>
        <v>0.13927328035614472</v>
      </c>
      <c r="G78" s="7">
        <f t="shared" si="3"/>
        <v>13.927328035614472</v>
      </c>
      <c r="H78" s="7">
        <f>DATA!F78</f>
        <v>0.33298835135313681</v>
      </c>
      <c r="I78" s="7">
        <f t="shared" si="4"/>
        <v>33.298835135313681</v>
      </c>
      <c r="J78" s="7">
        <v>0</v>
      </c>
      <c r="K78" s="7">
        <v>0</v>
      </c>
      <c r="L78" s="7">
        <v>0</v>
      </c>
      <c r="M78" s="7">
        <v>0</v>
      </c>
      <c r="N78" s="7">
        <v>0.18045930153553474</v>
      </c>
      <c r="O78" s="7">
        <v>0.35817805383022772</v>
      </c>
    </row>
    <row r="79" spans="1:15" x14ac:dyDescent="0.35">
      <c r="A79">
        <f t="shared" si="5"/>
        <v>1969.25</v>
      </c>
      <c r="B79" s="7">
        <v>0</v>
      </c>
      <c r="C79" s="7">
        <v>0</v>
      </c>
      <c r="D79" s="7">
        <v>0</v>
      </c>
      <c r="E79" s="7">
        <v>0</v>
      </c>
      <c r="F79" s="7">
        <f>DATA!E79</f>
        <v>0.14364018805206843</v>
      </c>
      <c r="G79" s="7">
        <f t="shared" si="3"/>
        <v>14.364018805206843</v>
      </c>
      <c r="H79" s="7">
        <f>DATA!F79</f>
        <v>0.33059953510810935</v>
      </c>
      <c r="I79" s="7">
        <f t="shared" si="4"/>
        <v>33.059953510810935</v>
      </c>
      <c r="J79" s="7">
        <v>0</v>
      </c>
      <c r="K79" s="7">
        <v>0</v>
      </c>
      <c r="L79" s="7">
        <v>0</v>
      </c>
      <c r="M79" s="7">
        <v>0</v>
      </c>
      <c r="N79" s="7">
        <v>0.18068453170602281</v>
      </c>
      <c r="O79" s="7">
        <v>0.35867237687366166</v>
      </c>
    </row>
    <row r="80" spans="1:15" x14ac:dyDescent="0.35">
      <c r="A80">
        <f t="shared" si="5"/>
        <v>1969.5</v>
      </c>
      <c r="B80" s="7">
        <v>0</v>
      </c>
      <c r="C80" s="7">
        <v>0</v>
      </c>
      <c r="D80" s="7">
        <v>0</v>
      </c>
      <c r="E80" s="7">
        <v>0</v>
      </c>
      <c r="F80" s="7">
        <f>DATA!E80</f>
        <v>0.14525437726330989</v>
      </c>
      <c r="G80" s="7">
        <f t="shared" si="3"/>
        <v>14.525437726330988</v>
      </c>
      <c r="H80" s="7">
        <f>DATA!F80</f>
        <v>0.32798471613309332</v>
      </c>
      <c r="I80" s="7">
        <f t="shared" si="4"/>
        <v>32.798471613309331</v>
      </c>
      <c r="J80" s="7">
        <v>0</v>
      </c>
      <c r="K80" s="7">
        <v>0</v>
      </c>
      <c r="L80" s="7">
        <v>0</v>
      </c>
      <c r="M80" s="7">
        <v>0</v>
      </c>
      <c r="N80" s="7">
        <v>0.17396923872301925</v>
      </c>
      <c r="O80" s="7">
        <v>0.35580110497237571</v>
      </c>
    </row>
    <row r="81" spans="1:15" x14ac:dyDescent="0.35">
      <c r="A81">
        <f t="shared" si="5"/>
        <v>1969.75</v>
      </c>
      <c r="B81" s="7">
        <v>0</v>
      </c>
      <c r="C81" s="7">
        <v>0</v>
      </c>
      <c r="D81" s="7">
        <v>0</v>
      </c>
      <c r="E81" s="7">
        <v>0</v>
      </c>
      <c r="F81" s="7">
        <f>DATA!E81</f>
        <v>0.14624796365376017</v>
      </c>
      <c r="G81" s="7">
        <f t="shared" si="3"/>
        <v>14.624796365376017</v>
      </c>
      <c r="H81" s="7">
        <f>DATA!F81</f>
        <v>0.3262396996166515</v>
      </c>
      <c r="I81" s="7">
        <f t="shared" si="4"/>
        <v>32.623969961665154</v>
      </c>
      <c r="J81" s="7">
        <v>0</v>
      </c>
      <c r="K81" s="7">
        <v>0</v>
      </c>
      <c r="L81" s="7">
        <v>0</v>
      </c>
      <c r="M81" s="7">
        <v>0</v>
      </c>
      <c r="N81" s="7">
        <v>0.17312333290994542</v>
      </c>
      <c r="O81" s="7">
        <v>0.37323943661971831</v>
      </c>
    </row>
    <row r="82" spans="1:15" x14ac:dyDescent="0.35">
      <c r="A82">
        <f t="shared" si="5"/>
        <v>1970</v>
      </c>
      <c r="B82" s="7">
        <v>0</v>
      </c>
      <c r="C82" s="7">
        <v>0</v>
      </c>
      <c r="D82" s="7">
        <v>0</v>
      </c>
      <c r="E82" s="7">
        <v>0</v>
      </c>
      <c r="F82" s="7">
        <f>DATA!E82</f>
        <v>0.14701989401949586</v>
      </c>
      <c r="G82" s="7">
        <f t="shared" si="3"/>
        <v>14.701989401949586</v>
      </c>
      <c r="H82" s="7">
        <f>DATA!F82</f>
        <v>0.32416301408188003</v>
      </c>
      <c r="I82" s="7">
        <f t="shared" si="4"/>
        <v>32.416301408188005</v>
      </c>
      <c r="J82" s="7">
        <v>0</v>
      </c>
      <c r="K82" s="7">
        <v>0</v>
      </c>
      <c r="L82" s="7">
        <v>0</v>
      </c>
      <c r="M82" s="7">
        <v>0</v>
      </c>
      <c r="N82" s="7">
        <v>0.17037037037037037</v>
      </c>
      <c r="O82" s="7">
        <v>0.34974093264248712</v>
      </c>
    </row>
    <row r="83" spans="1:15" x14ac:dyDescent="0.35">
      <c r="A83">
        <f t="shared" si="5"/>
        <v>1970.25</v>
      </c>
      <c r="B83" s="7">
        <v>0</v>
      </c>
      <c r="C83" s="7">
        <v>0</v>
      </c>
      <c r="D83" s="7">
        <v>0</v>
      </c>
      <c r="E83" s="7">
        <v>0</v>
      </c>
      <c r="F83" s="7">
        <f>DATA!E83</f>
        <v>0.14652437967392395</v>
      </c>
      <c r="G83" s="7">
        <f t="shared" si="3"/>
        <v>14.652437967392395</v>
      </c>
      <c r="H83" s="7">
        <f>DATA!F83</f>
        <v>0.32148781570524049</v>
      </c>
      <c r="I83" s="7">
        <f t="shared" si="4"/>
        <v>32.148781570524051</v>
      </c>
      <c r="J83" s="7">
        <v>0</v>
      </c>
      <c r="K83" s="7">
        <v>0</v>
      </c>
      <c r="L83" s="7">
        <v>0</v>
      </c>
      <c r="M83" s="7">
        <v>0</v>
      </c>
      <c r="N83" s="7">
        <v>0.1692859794579879</v>
      </c>
      <c r="O83" s="7">
        <v>0.33374536464771321</v>
      </c>
    </row>
    <row r="84" spans="1:15" x14ac:dyDescent="0.35">
      <c r="A84">
        <f t="shared" si="5"/>
        <v>1970.5</v>
      </c>
      <c r="B84" s="7">
        <v>0</v>
      </c>
      <c r="C84" s="7">
        <v>0</v>
      </c>
      <c r="D84" s="7">
        <v>0</v>
      </c>
      <c r="E84" s="7">
        <v>0</v>
      </c>
      <c r="F84" s="7">
        <f>DATA!E84</f>
        <v>0.14816888405786313</v>
      </c>
      <c r="G84" s="7">
        <f t="shared" si="3"/>
        <v>14.816888405786313</v>
      </c>
      <c r="H84" s="7">
        <f>DATA!F84</f>
        <v>0.31858447698168635</v>
      </c>
      <c r="I84" s="7">
        <f t="shared" si="4"/>
        <v>31.858447698168636</v>
      </c>
      <c r="J84" s="7">
        <v>0</v>
      </c>
      <c r="K84" s="7">
        <v>0</v>
      </c>
      <c r="L84" s="7">
        <v>0</v>
      </c>
      <c r="M84" s="7">
        <v>0</v>
      </c>
      <c r="N84" s="7">
        <v>0.16114090687469526</v>
      </c>
      <c r="O84" s="7">
        <v>0.34444444444444444</v>
      </c>
    </row>
    <row r="85" spans="1:15" x14ac:dyDescent="0.35">
      <c r="A85">
        <f t="shared" si="5"/>
        <v>1970.75</v>
      </c>
      <c r="B85" s="7">
        <v>0</v>
      </c>
      <c r="C85" s="7">
        <v>0</v>
      </c>
      <c r="D85" s="7">
        <v>0</v>
      </c>
      <c r="E85" s="7">
        <v>0</v>
      </c>
      <c r="F85" s="7">
        <f>DATA!E85</f>
        <v>0.14930310579735179</v>
      </c>
      <c r="G85" s="7">
        <f t="shared" si="3"/>
        <v>14.930310579735179</v>
      </c>
      <c r="H85" s="7">
        <f>DATA!F85</f>
        <v>0.31980496511792428</v>
      </c>
      <c r="I85" s="7">
        <f t="shared" si="4"/>
        <v>31.980496511792428</v>
      </c>
      <c r="J85" s="7">
        <v>0</v>
      </c>
      <c r="K85" s="7">
        <v>0</v>
      </c>
      <c r="L85" s="7">
        <v>0</v>
      </c>
      <c r="M85" s="7">
        <v>0</v>
      </c>
      <c r="N85" s="7">
        <v>0.16110639330340895</v>
      </c>
      <c r="O85" s="7">
        <v>0.34590377113133941</v>
      </c>
    </row>
    <row r="86" spans="1:15" x14ac:dyDescent="0.35">
      <c r="A86">
        <f t="shared" si="5"/>
        <v>1971</v>
      </c>
      <c r="B86" s="7">
        <v>0</v>
      </c>
      <c r="C86" s="7">
        <v>-3.4825870646766162</v>
      </c>
      <c r="D86" s="7">
        <v>0</v>
      </c>
      <c r="E86" s="7">
        <v>-2.6092000000000004</v>
      </c>
      <c r="F86" s="7">
        <f>DATA!E86</f>
        <v>0.15017978187035774</v>
      </c>
      <c r="G86" s="7">
        <f t="shared" si="3"/>
        <v>15.017978187035775</v>
      </c>
      <c r="H86" s="7">
        <f>DATA!F86</f>
        <v>0.34590033166799616</v>
      </c>
      <c r="I86" s="7">
        <f t="shared" si="4"/>
        <v>34.590033166799614</v>
      </c>
      <c r="J86" s="7">
        <v>0</v>
      </c>
      <c r="K86" s="7">
        <v>-3.4825870646766162</v>
      </c>
      <c r="L86" s="7">
        <v>0</v>
      </c>
      <c r="M86" s="7">
        <v>-2.6998249317521337</v>
      </c>
      <c r="N86" s="7">
        <v>0.15753991720875218</v>
      </c>
      <c r="O86" s="7">
        <v>0.33482642777155652</v>
      </c>
    </row>
    <row r="87" spans="1:15" x14ac:dyDescent="0.35">
      <c r="A87">
        <f t="shared" si="5"/>
        <v>1971.25</v>
      </c>
      <c r="B87" s="7">
        <v>0</v>
      </c>
      <c r="C87" s="7">
        <v>0</v>
      </c>
      <c r="D87" s="7">
        <v>0</v>
      </c>
      <c r="E87" s="7">
        <v>0</v>
      </c>
      <c r="F87" s="7">
        <f>DATA!E87</f>
        <v>0.15074624179590865</v>
      </c>
      <c r="G87" s="7">
        <f t="shared" si="3"/>
        <v>15.074624179590865</v>
      </c>
      <c r="H87" s="7">
        <f>DATA!F87</f>
        <v>0.34331386412542264</v>
      </c>
      <c r="I87" s="7">
        <f t="shared" si="4"/>
        <v>34.331386412542265</v>
      </c>
      <c r="J87" s="7">
        <v>0</v>
      </c>
      <c r="K87" s="7">
        <v>0</v>
      </c>
      <c r="L87" s="7">
        <v>0</v>
      </c>
      <c r="M87" s="7">
        <v>0</v>
      </c>
      <c r="N87" s="7">
        <v>0.15705165409170052</v>
      </c>
      <c r="O87" s="7">
        <v>0.33588621444201316</v>
      </c>
    </row>
    <row r="88" spans="1:15" x14ac:dyDescent="0.35">
      <c r="A88">
        <f t="shared" si="5"/>
        <v>1971.5</v>
      </c>
      <c r="B88" s="7">
        <v>0</v>
      </c>
      <c r="C88" s="7">
        <v>0</v>
      </c>
      <c r="D88" s="7">
        <v>0</v>
      </c>
      <c r="E88" s="7">
        <v>0</v>
      </c>
      <c r="F88" s="7">
        <f>DATA!E88</f>
        <v>0.16072310286677907</v>
      </c>
      <c r="G88" s="7">
        <f t="shared" si="3"/>
        <v>16.072310286677908</v>
      </c>
      <c r="H88" s="7">
        <f>DATA!F88</f>
        <v>0.34175667413898514</v>
      </c>
      <c r="I88" s="7">
        <f t="shared" si="4"/>
        <v>34.175667413898516</v>
      </c>
      <c r="J88" s="7">
        <v>0</v>
      </c>
      <c r="K88" s="7">
        <v>0</v>
      </c>
      <c r="L88" s="7">
        <v>0</v>
      </c>
      <c r="M88" s="7">
        <v>0</v>
      </c>
      <c r="N88" s="7">
        <v>0.15639647879272894</v>
      </c>
      <c r="O88" s="7">
        <v>0.31905781584582438</v>
      </c>
    </row>
    <row r="89" spans="1:15" x14ac:dyDescent="0.35">
      <c r="A89">
        <f t="shared" si="5"/>
        <v>1971.75</v>
      </c>
      <c r="B89" s="7">
        <v>0</v>
      </c>
      <c r="C89" s="7">
        <v>0</v>
      </c>
      <c r="D89" s="7">
        <v>0</v>
      </c>
      <c r="E89" s="7">
        <v>0</v>
      </c>
      <c r="F89" s="7">
        <f>DATA!E89</f>
        <v>0.16266151303457052</v>
      </c>
      <c r="G89" s="7">
        <f t="shared" si="3"/>
        <v>16.26615130345705</v>
      </c>
      <c r="H89" s="7">
        <f>DATA!F89</f>
        <v>0.34152595434261918</v>
      </c>
      <c r="I89" s="7">
        <f t="shared" si="4"/>
        <v>34.152595434261919</v>
      </c>
      <c r="J89" s="7">
        <v>0</v>
      </c>
      <c r="K89" s="7">
        <v>0</v>
      </c>
      <c r="L89" s="7">
        <v>0</v>
      </c>
      <c r="M89" s="7">
        <v>0</v>
      </c>
      <c r="N89" s="7">
        <v>0.15633423180592992</v>
      </c>
      <c r="O89" s="7">
        <v>0.3106295149638803</v>
      </c>
    </row>
    <row r="90" spans="1:15" x14ac:dyDescent="0.35">
      <c r="A90">
        <f t="shared" si="5"/>
        <v>1972</v>
      </c>
      <c r="B90" s="7">
        <v>-0.42768711311198648</v>
      </c>
      <c r="C90" s="7">
        <v>-1.5968063872255491</v>
      </c>
      <c r="D90" s="7">
        <v>-0.17950000000000002</v>
      </c>
      <c r="E90" s="7">
        <v>-0.72340000000000004</v>
      </c>
      <c r="F90" s="7">
        <f>DATA!E90</f>
        <v>0.17177526483832628</v>
      </c>
      <c r="G90" s="7">
        <f t="shared" si="3"/>
        <v>17.177526483832629</v>
      </c>
      <c r="H90" s="7">
        <f>DATA!F90</f>
        <v>0.34377420700339639</v>
      </c>
      <c r="I90" s="7">
        <f t="shared" si="4"/>
        <v>34.377420700339641</v>
      </c>
      <c r="J90" s="7">
        <v>-0.42768711311198648</v>
      </c>
      <c r="K90" s="7">
        <v>-1.5968063872255491</v>
      </c>
      <c r="L90" s="7">
        <v>-0.14848320590153785</v>
      </c>
      <c r="M90" s="7">
        <v>-0.81404425430106642</v>
      </c>
      <c r="N90" s="7">
        <v>0.17093275488069415</v>
      </c>
      <c r="O90" s="7">
        <v>0.30903790087463556</v>
      </c>
    </row>
    <row r="91" spans="1:15" x14ac:dyDescent="0.35">
      <c r="A91">
        <f t="shared" si="5"/>
        <v>1972.25</v>
      </c>
      <c r="B91" s="7">
        <v>0</v>
      </c>
      <c r="C91" s="7">
        <v>0</v>
      </c>
      <c r="D91" s="7">
        <v>0</v>
      </c>
      <c r="E91" s="7">
        <v>0</v>
      </c>
      <c r="F91" s="7">
        <f>DATA!E91</f>
        <v>0.17203425203324016</v>
      </c>
      <c r="G91" s="7">
        <f t="shared" si="3"/>
        <v>17.203425203324016</v>
      </c>
      <c r="H91" s="7">
        <f>DATA!F91</f>
        <v>0.34260707749251051</v>
      </c>
      <c r="I91" s="7">
        <f t="shared" si="4"/>
        <v>34.260707749251054</v>
      </c>
      <c r="J91" s="7">
        <v>0</v>
      </c>
      <c r="K91" s="7">
        <v>0</v>
      </c>
      <c r="L91" s="7">
        <v>0</v>
      </c>
      <c r="M91" s="7">
        <v>0</v>
      </c>
      <c r="N91" s="7">
        <v>0.17080447522642514</v>
      </c>
      <c r="O91" s="7">
        <v>0.3059273422562141</v>
      </c>
    </row>
    <row r="92" spans="1:15" x14ac:dyDescent="0.35">
      <c r="A92">
        <f t="shared" si="5"/>
        <v>1972.5</v>
      </c>
      <c r="B92" s="7">
        <v>0</v>
      </c>
      <c r="C92" s="7">
        <v>0</v>
      </c>
      <c r="D92" s="7">
        <v>0</v>
      </c>
      <c r="E92" s="7">
        <v>0</v>
      </c>
      <c r="F92" s="7">
        <f>DATA!E92</f>
        <v>0.16554565627468062</v>
      </c>
      <c r="G92" s="7">
        <f t="shared" si="3"/>
        <v>16.554565627468062</v>
      </c>
      <c r="H92" s="7">
        <f>DATA!F92</f>
        <v>0.34047855377922326</v>
      </c>
      <c r="I92" s="7">
        <f t="shared" si="4"/>
        <v>34.047855377922325</v>
      </c>
      <c r="J92" s="7">
        <v>0</v>
      </c>
      <c r="K92" s="7">
        <v>0</v>
      </c>
      <c r="L92" s="7">
        <v>0</v>
      </c>
      <c r="M92" s="7">
        <v>0</v>
      </c>
      <c r="N92" s="7">
        <v>0.16763485477178422</v>
      </c>
      <c r="O92" s="7">
        <v>0.30422794117647062</v>
      </c>
    </row>
    <row r="93" spans="1:15" x14ac:dyDescent="0.35">
      <c r="A93">
        <f t="shared" si="5"/>
        <v>1972.75</v>
      </c>
      <c r="B93" s="7">
        <v>0</v>
      </c>
      <c r="C93" s="7">
        <v>0</v>
      </c>
      <c r="D93" s="7">
        <v>0</v>
      </c>
      <c r="E93" s="7">
        <v>0</v>
      </c>
      <c r="F93" s="7">
        <f>DATA!E93</f>
        <v>0.16469108326479268</v>
      </c>
      <c r="G93" s="7">
        <f t="shared" si="3"/>
        <v>16.469108326479269</v>
      </c>
      <c r="H93" s="7">
        <f>DATA!F93</f>
        <v>0.34055946301827411</v>
      </c>
      <c r="I93" s="7">
        <f t="shared" si="4"/>
        <v>34.055946301827412</v>
      </c>
      <c r="J93" s="7">
        <v>0</v>
      </c>
      <c r="K93" s="7">
        <v>0</v>
      </c>
      <c r="L93" s="7">
        <v>0</v>
      </c>
      <c r="M93" s="7">
        <v>0</v>
      </c>
      <c r="N93" s="7">
        <v>0.16473294658931784</v>
      </c>
      <c r="O93" s="7">
        <v>0.31524547803617575</v>
      </c>
    </row>
    <row r="94" spans="1:15" x14ac:dyDescent="0.35">
      <c r="A94">
        <f t="shared" si="5"/>
        <v>1973</v>
      </c>
      <c r="B94" s="7">
        <v>0</v>
      </c>
      <c r="C94" s="7">
        <v>0</v>
      </c>
      <c r="D94" s="7">
        <v>0</v>
      </c>
      <c r="E94" s="7">
        <v>0</v>
      </c>
      <c r="F94" s="7">
        <f>DATA!E94</f>
        <v>0.16093786568552559</v>
      </c>
      <c r="G94" s="7">
        <f t="shared" si="3"/>
        <v>16.093786568552559</v>
      </c>
      <c r="H94" s="7">
        <f>DATA!F94</f>
        <v>0.31194805495433975</v>
      </c>
      <c r="I94" s="7">
        <f t="shared" si="4"/>
        <v>31.194805495433975</v>
      </c>
      <c r="J94" s="7">
        <v>0</v>
      </c>
      <c r="K94" s="7">
        <v>0</v>
      </c>
      <c r="L94" s="7">
        <v>0</v>
      </c>
      <c r="M94" s="7">
        <v>0</v>
      </c>
      <c r="N94" s="7">
        <v>0.17175535523892602</v>
      </c>
      <c r="O94" s="7">
        <v>0.32160392798690668</v>
      </c>
    </row>
    <row r="95" spans="1:15" x14ac:dyDescent="0.35">
      <c r="A95">
        <f t="shared" si="5"/>
        <v>1973.25</v>
      </c>
      <c r="B95" s="7">
        <v>0</v>
      </c>
      <c r="C95" s="7">
        <v>0</v>
      </c>
      <c r="D95" s="7">
        <v>0</v>
      </c>
      <c r="E95" s="7">
        <v>0</v>
      </c>
      <c r="F95" s="7">
        <f>DATA!E95</f>
        <v>0.15876618544426255</v>
      </c>
      <c r="G95" s="7">
        <f t="shared" si="3"/>
        <v>15.876618544426254</v>
      </c>
      <c r="H95" s="7">
        <f>DATA!F95</f>
        <v>0.31295888824551249</v>
      </c>
      <c r="I95" s="7">
        <f t="shared" si="4"/>
        <v>31.295888824551248</v>
      </c>
      <c r="J95" s="7">
        <v>0</v>
      </c>
      <c r="K95" s="7">
        <v>0</v>
      </c>
      <c r="L95" s="7">
        <v>0</v>
      </c>
      <c r="M95" s="7">
        <v>0</v>
      </c>
      <c r="N95" s="7">
        <v>0.17031102733270498</v>
      </c>
      <c r="O95" s="7">
        <v>0.33248945147679326</v>
      </c>
    </row>
    <row r="96" spans="1:15" x14ac:dyDescent="0.35">
      <c r="A96">
        <f t="shared" si="5"/>
        <v>1973.5</v>
      </c>
      <c r="B96" s="7">
        <v>0</v>
      </c>
      <c r="C96" s="7">
        <v>0</v>
      </c>
      <c r="D96" s="7">
        <v>0</v>
      </c>
      <c r="E96" s="7">
        <v>0</v>
      </c>
      <c r="F96" s="7">
        <f>DATA!E96</f>
        <v>0.1508667751255032</v>
      </c>
      <c r="G96" s="7">
        <f t="shared" si="3"/>
        <v>15.08667751255032</v>
      </c>
      <c r="H96" s="7">
        <f>DATA!F96</f>
        <v>0.31609950609452175</v>
      </c>
      <c r="I96" s="7">
        <f t="shared" si="4"/>
        <v>31.609950609452177</v>
      </c>
      <c r="J96" s="7">
        <v>0</v>
      </c>
      <c r="K96" s="7">
        <v>0</v>
      </c>
      <c r="L96" s="7">
        <v>0</v>
      </c>
      <c r="M96" s="7">
        <v>0</v>
      </c>
      <c r="N96" s="7">
        <v>0.17101635728726339</v>
      </c>
      <c r="O96" s="7">
        <v>0.31729957805907172</v>
      </c>
    </row>
    <row r="97" spans="1:15" x14ac:dyDescent="0.35">
      <c r="A97">
        <f t="shared" si="5"/>
        <v>1973.75</v>
      </c>
      <c r="B97" s="7">
        <v>0</v>
      </c>
      <c r="C97" s="7">
        <v>0</v>
      </c>
      <c r="D97" s="7">
        <v>0</v>
      </c>
      <c r="E97" s="7">
        <v>0</v>
      </c>
      <c r="F97" s="7">
        <f>DATA!E97</f>
        <v>0.14995632120435792</v>
      </c>
      <c r="G97" s="7">
        <f t="shared" si="3"/>
        <v>14.995632120435792</v>
      </c>
      <c r="H97" s="7">
        <f>DATA!F97</f>
        <v>0.31666388974841125</v>
      </c>
      <c r="I97" s="7">
        <f t="shared" si="4"/>
        <v>31.666388974841126</v>
      </c>
      <c r="J97" s="7">
        <v>0</v>
      </c>
      <c r="K97" s="7">
        <v>0</v>
      </c>
      <c r="L97" s="7">
        <v>0</v>
      </c>
      <c r="M97" s="7">
        <v>0</v>
      </c>
      <c r="N97" s="7">
        <v>0.17119999999999999</v>
      </c>
      <c r="O97" s="7">
        <v>0.32561983471074379</v>
      </c>
    </row>
    <row r="98" spans="1:15" x14ac:dyDescent="0.35">
      <c r="A98">
        <f t="shared" si="5"/>
        <v>1974</v>
      </c>
      <c r="B98" s="7">
        <v>0</v>
      </c>
      <c r="C98" s="7">
        <v>0</v>
      </c>
      <c r="D98" s="7">
        <v>0</v>
      </c>
      <c r="E98" s="7">
        <v>0</v>
      </c>
      <c r="F98" s="7">
        <f>DATA!E98</f>
        <v>0.14713072076967088</v>
      </c>
      <c r="G98" s="7">
        <f t="shared" si="3"/>
        <v>14.713072076967087</v>
      </c>
      <c r="H98" s="7">
        <f>DATA!F98</f>
        <v>0.31598544469831596</v>
      </c>
      <c r="I98" s="7">
        <f t="shared" si="4"/>
        <v>31.598544469831598</v>
      </c>
      <c r="J98" s="7">
        <v>0</v>
      </c>
      <c r="K98" s="7">
        <v>0</v>
      </c>
      <c r="L98" s="7">
        <v>0</v>
      </c>
      <c r="M98" s="7">
        <v>0</v>
      </c>
      <c r="N98" s="7">
        <v>0.17647058823529413</v>
      </c>
      <c r="O98" s="7">
        <v>0.32951541850220262</v>
      </c>
    </row>
    <row r="99" spans="1:15" x14ac:dyDescent="0.35">
      <c r="A99">
        <f t="shared" si="5"/>
        <v>1974.25</v>
      </c>
      <c r="B99" s="7">
        <v>0</v>
      </c>
      <c r="C99" s="7">
        <v>0</v>
      </c>
      <c r="D99" s="7">
        <v>0</v>
      </c>
      <c r="E99" s="7">
        <v>0</v>
      </c>
      <c r="F99" s="7">
        <f>DATA!E99</f>
        <v>0.14560807020874503</v>
      </c>
      <c r="G99" s="7">
        <f t="shared" si="3"/>
        <v>14.560807020874503</v>
      </c>
      <c r="H99" s="7">
        <f>DATA!F99</f>
        <v>0.31390685110911026</v>
      </c>
      <c r="I99" s="7">
        <f t="shared" si="4"/>
        <v>31.390685110911026</v>
      </c>
      <c r="J99" s="7">
        <v>0</v>
      </c>
      <c r="K99" s="7">
        <v>0</v>
      </c>
      <c r="L99" s="7">
        <v>0</v>
      </c>
      <c r="M99" s="7">
        <v>0</v>
      </c>
      <c r="N99" s="7">
        <v>0.17929966445840148</v>
      </c>
      <c r="O99" s="7">
        <v>0.35152057245080492</v>
      </c>
    </row>
    <row r="100" spans="1:15" x14ac:dyDescent="0.35">
      <c r="A100">
        <f t="shared" si="5"/>
        <v>1974.5</v>
      </c>
      <c r="B100" s="7">
        <v>0</v>
      </c>
      <c r="C100" s="7">
        <v>0</v>
      </c>
      <c r="D100" s="7">
        <v>0</v>
      </c>
      <c r="E100" s="7">
        <v>0</v>
      </c>
      <c r="F100" s="7">
        <f>DATA!E100</f>
        <v>0.14495146714269774</v>
      </c>
      <c r="G100" s="7">
        <f t="shared" si="3"/>
        <v>14.495146714269774</v>
      </c>
      <c r="H100" s="7">
        <f>DATA!F100</f>
        <v>0.29429453193004668</v>
      </c>
      <c r="I100" s="7">
        <f t="shared" si="4"/>
        <v>29.429453193004669</v>
      </c>
      <c r="J100" s="7">
        <v>0</v>
      </c>
      <c r="K100" s="7">
        <v>0</v>
      </c>
      <c r="L100" s="7">
        <v>0</v>
      </c>
      <c r="M100" s="7">
        <v>0</v>
      </c>
      <c r="N100" s="7">
        <v>0.17984768599882833</v>
      </c>
      <c r="O100" s="7">
        <v>0.40203327171903885</v>
      </c>
    </row>
    <row r="101" spans="1:15" x14ac:dyDescent="0.35">
      <c r="A101">
        <f t="shared" si="5"/>
        <v>1974.75</v>
      </c>
      <c r="B101" s="7">
        <v>0</v>
      </c>
      <c r="C101" s="7">
        <v>0</v>
      </c>
      <c r="D101" s="7">
        <v>0</v>
      </c>
      <c r="E101" s="7">
        <v>0</v>
      </c>
      <c r="F101" s="7">
        <f>DATA!E101</f>
        <v>0.1447513812154696</v>
      </c>
      <c r="G101" s="7">
        <f t="shared" si="3"/>
        <v>14.47513812154696</v>
      </c>
      <c r="H101" s="7">
        <f>DATA!F101</f>
        <v>0.29014125247071298</v>
      </c>
      <c r="I101" s="7">
        <f t="shared" si="4"/>
        <v>29.014125247071298</v>
      </c>
      <c r="J101" s="7">
        <v>0</v>
      </c>
      <c r="K101" s="7">
        <v>0</v>
      </c>
      <c r="L101" s="7">
        <v>0</v>
      </c>
      <c r="M101" s="7">
        <v>0</v>
      </c>
      <c r="N101" s="7">
        <v>0.17916597989121477</v>
      </c>
      <c r="O101" s="7">
        <v>0.36494252873563221</v>
      </c>
    </row>
    <row r="102" spans="1:15" x14ac:dyDescent="0.35">
      <c r="A102">
        <f t="shared" si="5"/>
        <v>1975</v>
      </c>
      <c r="B102" s="7">
        <v>0</v>
      </c>
      <c r="C102" s="7">
        <v>0</v>
      </c>
      <c r="D102" s="7">
        <v>0</v>
      </c>
      <c r="E102" s="7">
        <v>0</v>
      </c>
      <c r="F102" s="7">
        <f>DATA!E102</f>
        <v>0.15931250563839849</v>
      </c>
      <c r="G102" s="7">
        <f t="shared" si="3"/>
        <v>15.93125056383985</v>
      </c>
      <c r="H102" s="7">
        <f>DATA!F102</f>
        <v>0.28892426654537184</v>
      </c>
      <c r="I102" s="7">
        <f t="shared" si="4"/>
        <v>28.892426654537186</v>
      </c>
      <c r="J102" s="7">
        <v>0</v>
      </c>
      <c r="K102" s="7">
        <v>0</v>
      </c>
      <c r="L102" s="7">
        <v>0</v>
      </c>
      <c r="M102" s="7">
        <v>0</v>
      </c>
      <c r="N102" s="7">
        <v>0.17925610355562838</v>
      </c>
      <c r="O102" s="7">
        <v>0.29688972667295005</v>
      </c>
    </row>
    <row r="103" spans="1:15" x14ac:dyDescent="0.35">
      <c r="A103">
        <f t="shared" si="5"/>
        <v>1975.25</v>
      </c>
      <c r="B103" s="7">
        <v>0</v>
      </c>
      <c r="C103" s="7">
        <v>0</v>
      </c>
      <c r="D103" s="7">
        <v>0</v>
      </c>
      <c r="E103" s="7">
        <v>0</v>
      </c>
      <c r="F103" s="7">
        <f>DATA!E103</f>
        <v>0.15923360735322675</v>
      </c>
      <c r="G103" s="7">
        <f t="shared" si="3"/>
        <v>15.923360735322674</v>
      </c>
      <c r="H103" s="7">
        <f>DATA!F103</f>
        <v>0.28762187177067894</v>
      </c>
      <c r="I103" s="7">
        <f t="shared" si="4"/>
        <v>28.762187177067894</v>
      </c>
      <c r="J103" s="7">
        <v>0</v>
      </c>
      <c r="K103" s="7">
        <v>0</v>
      </c>
      <c r="L103" s="7">
        <v>0</v>
      </c>
      <c r="M103" s="7">
        <v>0</v>
      </c>
      <c r="N103" s="7">
        <v>0.14674000970716711</v>
      </c>
      <c r="O103" s="7">
        <v>0.28763666947014299</v>
      </c>
    </row>
    <row r="104" spans="1:15" x14ac:dyDescent="0.35">
      <c r="A104">
        <f t="shared" si="5"/>
        <v>1975.5</v>
      </c>
      <c r="B104" s="7">
        <v>0</v>
      </c>
      <c r="C104" s="7">
        <v>0</v>
      </c>
      <c r="D104" s="7">
        <v>0</v>
      </c>
      <c r="E104" s="7">
        <v>0</v>
      </c>
      <c r="F104" s="7">
        <f>DATA!E104</f>
        <v>0.15650215508872756</v>
      </c>
      <c r="G104" s="7">
        <f t="shared" si="3"/>
        <v>15.650215508872755</v>
      </c>
      <c r="H104" s="7">
        <f>DATA!F104</f>
        <v>0.28607953563901456</v>
      </c>
      <c r="I104" s="7">
        <f t="shared" si="4"/>
        <v>28.607953563901457</v>
      </c>
      <c r="J104" s="7">
        <v>0</v>
      </c>
      <c r="K104" s="7">
        <v>0</v>
      </c>
      <c r="L104" s="7">
        <v>0</v>
      </c>
      <c r="M104" s="7">
        <v>0</v>
      </c>
      <c r="N104" s="7">
        <v>0.16833005893909625</v>
      </c>
      <c r="O104" s="7">
        <v>0.30989956958393117</v>
      </c>
    </row>
    <row r="105" spans="1:15" x14ac:dyDescent="0.35">
      <c r="A105">
        <f t="shared" si="5"/>
        <v>1975.75</v>
      </c>
      <c r="B105" s="7">
        <v>0</v>
      </c>
      <c r="C105" s="7">
        <v>0</v>
      </c>
      <c r="D105" s="7">
        <v>0</v>
      </c>
      <c r="E105" s="7">
        <v>0</v>
      </c>
      <c r="F105" s="7">
        <f>DATA!E105</f>
        <v>0.15253637688035809</v>
      </c>
      <c r="G105" s="7">
        <f t="shared" si="3"/>
        <v>15.253637688035809</v>
      </c>
      <c r="H105" s="7">
        <f>DATA!F105</f>
        <v>0.28932646417396252</v>
      </c>
      <c r="I105" s="7">
        <f t="shared" si="4"/>
        <v>28.932646417396253</v>
      </c>
      <c r="J105" s="7">
        <v>0</v>
      </c>
      <c r="K105" s="7">
        <v>0</v>
      </c>
      <c r="L105" s="7">
        <v>0</v>
      </c>
      <c r="M105" s="7">
        <v>0</v>
      </c>
      <c r="N105" s="7">
        <v>0.16862595419847329</v>
      </c>
      <c r="O105" s="7">
        <v>0.29965870307167236</v>
      </c>
    </row>
    <row r="106" spans="1:15" x14ac:dyDescent="0.35">
      <c r="A106">
        <f t="shared" si="5"/>
        <v>1976</v>
      </c>
      <c r="B106" s="7">
        <v>0</v>
      </c>
      <c r="C106" s="7">
        <v>0</v>
      </c>
      <c r="D106" s="7">
        <v>0</v>
      </c>
      <c r="E106" s="7">
        <v>0</v>
      </c>
      <c r="F106" s="7">
        <f>DATA!E106</f>
        <v>0.16136216905295245</v>
      </c>
      <c r="G106" s="7">
        <f t="shared" si="3"/>
        <v>16.136216905295246</v>
      </c>
      <c r="H106" s="7">
        <f>DATA!F106</f>
        <v>0.27753014558888978</v>
      </c>
      <c r="I106" s="7">
        <f t="shared" si="4"/>
        <v>27.753014558888978</v>
      </c>
      <c r="J106" s="7">
        <v>0</v>
      </c>
      <c r="K106" s="7">
        <v>0</v>
      </c>
      <c r="L106" s="7">
        <v>0</v>
      </c>
      <c r="M106" s="7">
        <v>0</v>
      </c>
      <c r="N106" s="7">
        <v>0.17070819428995179</v>
      </c>
      <c r="O106" s="7">
        <v>0.31383647798742137</v>
      </c>
    </row>
    <row r="107" spans="1:15" x14ac:dyDescent="0.35">
      <c r="A107">
        <f t="shared" si="5"/>
        <v>1976.25</v>
      </c>
      <c r="B107" s="7">
        <v>0</v>
      </c>
      <c r="C107" s="7">
        <v>0</v>
      </c>
      <c r="D107" s="7">
        <v>0</v>
      </c>
      <c r="E107" s="7">
        <v>0</v>
      </c>
      <c r="F107" s="7">
        <f>DATA!E107</f>
        <v>0.16012659353163952</v>
      </c>
      <c r="G107" s="7">
        <f t="shared" si="3"/>
        <v>16.012659353163951</v>
      </c>
      <c r="H107" s="7">
        <f>DATA!F107</f>
        <v>0.27129159227677868</v>
      </c>
      <c r="I107" s="7">
        <f t="shared" si="4"/>
        <v>27.129159227677867</v>
      </c>
      <c r="J107" s="7">
        <v>0</v>
      </c>
      <c r="K107" s="7">
        <v>0</v>
      </c>
      <c r="L107" s="7">
        <v>0</v>
      </c>
      <c r="M107" s="7">
        <v>0</v>
      </c>
      <c r="N107" s="7">
        <v>0.1720063786604813</v>
      </c>
      <c r="O107" s="7">
        <v>0.31715210355987056</v>
      </c>
    </row>
    <row r="108" spans="1:15" x14ac:dyDescent="0.35">
      <c r="A108">
        <f t="shared" si="5"/>
        <v>1976.5</v>
      </c>
      <c r="B108" s="7">
        <v>0</v>
      </c>
      <c r="C108" s="7">
        <v>0</v>
      </c>
      <c r="D108" s="7">
        <v>0</v>
      </c>
      <c r="E108" s="7">
        <v>0</v>
      </c>
      <c r="F108" s="7">
        <f>DATA!E108</f>
        <v>0.16097261737116697</v>
      </c>
      <c r="G108" s="7">
        <f t="shared" si="3"/>
        <v>16.097261737116696</v>
      </c>
      <c r="H108" s="7">
        <f>DATA!F108</f>
        <v>0.25896861758930723</v>
      </c>
      <c r="I108" s="7">
        <f t="shared" si="4"/>
        <v>25.896861758930722</v>
      </c>
      <c r="J108" s="7">
        <v>0</v>
      </c>
      <c r="K108" s="7">
        <v>0</v>
      </c>
      <c r="L108" s="7">
        <v>0</v>
      </c>
      <c r="M108" s="7">
        <v>0</v>
      </c>
      <c r="N108" s="7">
        <v>0.17333427741981164</v>
      </c>
      <c r="O108" s="7">
        <v>0.31290322580645163</v>
      </c>
    </row>
    <row r="109" spans="1:15" x14ac:dyDescent="0.35">
      <c r="A109">
        <f t="shared" si="5"/>
        <v>1976.75</v>
      </c>
      <c r="B109" s="7">
        <v>0.1172541216600341</v>
      </c>
      <c r="C109" s="7">
        <v>0.46612802983219387</v>
      </c>
      <c r="D109" s="7">
        <v>0.36549999999999999</v>
      </c>
      <c r="E109" s="7">
        <v>1.3394999999999999</v>
      </c>
      <c r="F109" s="7">
        <f>DATA!E109</f>
        <v>0.16124851867747186</v>
      </c>
      <c r="G109" s="7">
        <f t="shared" si="3"/>
        <v>16.124851867747186</v>
      </c>
      <c r="H109" s="7">
        <f>DATA!F109</f>
        <v>0.2582343120887754</v>
      </c>
      <c r="I109" s="7">
        <f t="shared" si="4"/>
        <v>25.82343120887754</v>
      </c>
      <c r="J109" s="7">
        <v>0.1172541216600341</v>
      </c>
      <c r="K109" s="7">
        <v>0.46612802983219387</v>
      </c>
      <c r="L109" s="7">
        <v>0.39645802887048276</v>
      </c>
      <c r="M109" s="7">
        <v>1.2488901627566766</v>
      </c>
      <c r="N109" s="7">
        <v>0.17388301912851323</v>
      </c>
      <c r="O109" s="7">
        <v>0.30764248704663211</v>
      </c>
    </row>
    <row r="110" spans="1:15" x14ac:dyDescent="0.35">
      <c r="A110">
        <f t="shared" si="5"/>
        <v>1977</v>
      </c>
      <c r="B110" s="7">
        <v>0</v>
      </c>
      <c r="C110" s="7">
        <v>0</v>
      </c>
      <c r="D110" s="7">
        <v>0</v>
      </c>
      <c r="E110" s="7">
        <v>0</v>
      </c>
      <c r="F110" s="7">
        <f>DATA!E110</f>
        <v>0.16657897113670808</v>
      </c>
      <c r="G110" s="7">
        <f t="shared" si="3"/>
        <v>16.65789711367081</v>
      </c>
      <c r="H110" s="7">
        <f>DATA!F110</f>
        <v>0.23764466488617578</v>
      </c>
      <c r="I110" s="7">
        <f t="shared" si="4"/>
        <v>23.764466488617579</v>
      </c>
      <c r="J110" s="7">
        <v>0</v>
      </c>
      <c r="K110" s="7">
        <v>0</v>
      </c>
      <c r="L110" s="7">
        <v>0</v>
      </c>
      <c r="M110" s="7">
        <v>0</v>
      </c>
      <c r="N110" s="7">
        <v>0.17702219523713145</v>
      </c>
      <c r="O110" s="7">
        <v>0.31021897810218979</v>
      </c>
    </row>
    <row r="111" spans="1:15" x14ac:dyDescent="0.35">
      <c r="A111">
        <f t="shared" si="5"/>
        <v>1977.25</v>
      </c>
      <c r="B111" s="7">
        <v>0</v>
      </c>
      <c r="C111" s="7">
        <v>0</v>
      </c>
      <c r="D111" s="7">
        <v>0</v>
      </c>
      <c r="E111" s="7">
        <v>0</v>
      </c>
      <c r="F111" s="7">
        <f>DATA!E111</f>
        <v>0.16860588196647383</v>
      </c>
      <c r="G111" s="7">
        <f t="shared" si="3"/>
        <v>16.860588196647385</v>
      </c>
      <c r="H111" s="7">
        <f>DATA!F111</f>
        <v>0.24225834889986253</v>
      </c>
      <c r="I111" s="7">
        <f t="shared" si="4"/>
        <v>24.225834889986253</v>
      </c>
      <c r="J111" s="7">
        <v>0</v>
      </c>
      <c r="K111" s="7">
        <v>0</v>
      </c>
      <c r="L111" s="7">
        <v>0</v>
      </c>
      <c r="M111" s="7">
        <v>0</v>
      </c>
      <c r="N111" s="7">
        <v>0.17691654140252272</v>
      </c>
      <c r="O111" s="7">
        <v>0.30043149946062569</v>
      </c>
    </row>
    <row r="112" spans="1:15" x14ac:dyDescent="0.35">
      <c r="A112">
        <f t="shared" si="5"/>
        <v>1977.5</v>
      </c>
      <c r="B112" s="7">
        <v>-0.35361142033920506</v>
      </c>
      <c r="C112" s="7">
        <v>-0.835509138381201</v>
      </c>
      <c r="D112" s="7">
        <v>-0.10540000000000002</v>
      </c>
      <c r="E112" s="7">
        <v>3.7899999999999934E-2</v>
      </c>
      <c r="F112" s="7">
        <f>DATA!E112</f>
        <v>0.16895726269440908</v>
      </c>
      <c r="G112" s="7">
        <f t="shared" si="3"/>
        <v>16.895726269440907</v>
      </c>
      <c r="H112" s="7">
        <f>DATA!F112</f>
        <v>0.25204552302806943</v>
      </c>
      <c r="I112" s="7">
        <f t="shared" si="4"/>
        <v>25.204552302806942</v>
      </c>
      <c r="J112" s="7">
        <v>-0.35361142033920506</v>
      </c>
      <c r="K112" s="7">
        <v>-0.835509138381201</v>
      </c>
      <c r="L112" s="7">
        <v>-7.4407513128756431E-2</v>
      </c>
      <c r="M112" s="7">
        <v>-5.2747005456718288E-2</v>
      </c>
      <c r="N112" s="7">
        <v>0.17454059896992433</v>
      </c>
      <c r="O112" s="7">
        <v>0.2893553223388306</v>
      </c>
    </row>
    <row r="113" spans="1:15" x14ac:dyDescent="0.35">
      <c r="A113">
        <f t="shared" si="5"/>
        <v>1977.75</v>
      </c>
      <c r="B113" s="7">
        <v>0</v>
      </c>
      <c r="C113" s="7">
        <v>0</v>
      </c>
      <c r="D113" s="7">
        <v>0</v>
      </c>
      <c r="E113" s="7">
        <v>0</v>
      </c>
      <c r="F113" s="7">
        <f>DATA!E113</f>
        <v>0.16699526206509885</v>
      </c>
      <c r="G113" s="7">
        <f t="shared" si="3"/>
        <v>16.699526206509884</v>
      </c>
      <c r="H113" s="7">
        <f>DATA!F113</f>
        <v>0.24726744035101381</v>
      </c>
      <c r="I113" s="7">
        <f t="shared" si="4"/>
        <v>24.72674403510138</v>
      </c>
      <c r="J113" s="7">
        <v>0</v>
      </c>
      <c r="K113" s="7">
        <v>0</v>
      </c>
      <c r="L113" s="7">
        <v>0</v>
      </c>
      <c r="M113" s="7">
        <v>0</v>
      </c>
      <c r="N113" s="7">
        <v>0.17469067744701705</v>
      </c>
      <c r="O113" s="7">
        <v>0.30072463768115942</v>
      </c>
    </row>
    <row r="114" spans="1:15" x14ac:dyDescent="0.35">
      <c r="A114">
        <f t="shared" si="5"/>
        <v>1978</v>
      </c>
      <c r="B114" s="7">
        <v>0</v>
      </c>
      <c r="C114" s="7">
        <v>0</v>
      </c>
      <c r="D114" s="7">
        <v>0</v>
      </c>
      <c r="E114" s="7">
        <v>0</v>
      </c>
      <c r="F114" s="7">
        <f>DATA!E114</f>
        <v>0.16545840406182544</v>
      </c>
      <c r="G114" s="7">
        <f t="shared" si="3"/>
        <v>16.545840406182542</v>
      </c>
      <c r="H114" s="7">
        <f>DATA!F114</f>
        <v>0.2366579210488727</v>
      </c>
      <c r="I114" s="7">
        <f t="shared" si="4"/>
        <v>23.66579210488727</v>
      </c>
      <c r="J114" s="7">
        <v>0</v>
      </c>
      <c r="K114" s="7">
        <v>0</v>
      </c>
      <c r="L114" s="7">
        <v>0</v>
      </c>
      <c r="M114" s="7">
        <v>0</v>
      </c>
      <c r="N114" s="7">
        <v>0.17707401443311266</v>
      </c>
      <c r="O114" s="7">
        <v>0.2929456112008616</v>
      </c>
    </row>
    <row r="115" spans="1:15" x14ac:dyDescent="0.35">
      <c r="A115">
        <f t="shared" si="5"/>
        <v>1978.25</v>
      </c>
      <c r="B115" s="7">
        <v>0</v>
      </c>
      <c r="C115" s="7">
        <v>0</v>
      </c>
      <c r="D115" s="7">
        <v>0</v>
      </c>
      <c r="E115" s="7">
        <v>0</v>
      </c>
      <c r="F115" s="7">
        <f>DATA!E115</f>
        <v>0.13395409476612183</v>
      </c>
      <c r="G115" s="7">
        <f t="shared" si="3"/>
        <v>13.395409476612183</v>
      </c>
      <c r="H115" s="7">
        <f>DATA!F115</f>
        <v>0.2427392668967378</v>
      </c>
      <c r="I115" s="7">
        <f t="shared" si="4"/>
        <v>24.273926689673779</v>
      </c>
      <c r="J115" s="7">
        <v>0</v>
      </c>
      <c r="K115" s="7">
        <v>0</v>
      </c>
      <c r="L115" s="7">
        <v>0</v>
      </c>
      <c r="M115" s="7">
        <v>0</v>
      </c>
      <c r="N115" s="7">
        <v>0.17833333333333334</v>
      </c>
      <c r="O115" s="7">
        <v>0.3109441052137154</v>
      </c>
    </row>
    <row r="116" spans="1:15" x14ac:dyDescent="0.35">
      <c r="A116">
        <f t="shared" si="5"/>
        <v>1978.5</v>
      </c>
      <c r="B116" s="7">
        <v>0</v>
      </c>
      <c r="C116" s="7">
        <v>0</v>
      </c>
      <c r="D116" s="7">
        <v>0</v>
      </c>
      <c r="E116" s="7">
        <v>0</v>
      </c>
      <c r="F116" s="7">
        <f>DATA!E116</f>
        <v>0.15403057242884488</v>
      </c>
      <c r="G116" s="7">
        <f t="shared" si="3"/>
        <v>15.403057242884488</v>
      </c>
      <c r="H116" s="7">
        <f>DATA!F116</f>
        <v>0.25715051681510831</v>
      </c>
      <c r="I116" s="7">
        <f t="shared" si="4"/>
        <v>25.715051681510833</v>
      </c>
      <c r="J116" s="7">
        <v>0</v>
      </c>
      <c r="K116" s="7">
        <v>0</v>
      </c>
      <c r="L116" s="7">
        <v>0</v>
      </c>
      <c r="M116" s="7">
        <v>0</v>
      </c>
      <c r="N116" s="7">
        <v>0.18181818181818182</v>
      </c>
      <c r="O116" s="7">
        <v>0.30709023941068142</v>
      </c>
    </row>
    <row r="117" spans="1:15" x14ac:dyDescent="0.35">
      <c r="A117">
        <f t="shared" si="5"/>
        <v>1978.75</v>
      </c>
      <c r="B117" s="7">
        <v>0</v>
      </c>
      <c r="C117" s="7">
        <v>0</v>
      </c>
      <c r="D117" s="7">
        <v>0</v>
      </c>
      <c r="E117" s="7">
        <v>0</v>
      </c>
      <c r="F117" s="7">
        <f>DATA!E117</f>
        <v>0.1548120272213655</v>
      </c>
      <c r="G117" s="7">
        <f t="shared" si="3"/>
        <v>15.481202722136549</v>
      </c>
      <c r="H117" s="7">
        <f>DATA!F117</f>
        <v>0.24736316949563397</v>
      </c>
      <c r="I117" s="7">
        <f t="shared" si="4"/>
        <v>24.736316949563395</v>
      </c>
      <c r="J117" s="7">
        <v>0</v>
      </c>
      <c r="K117" s="7">
        <v>0</v>
      </c>
      <c r="L117" s="7">
        <v>0</v>
      </c>
      <c r="M117" s="7">
        <v>0</v>
      </c>
      <c r="N117" s="7">
        <v>0.18343548299614906</v>
      </c>
      <c r="O117" s="7">
        <v>0.30928288605367354</v>
      </c>
    </row>
    <row r="118" spans="1:15" x14ac:dyDescent="0.35">
      <c r="A118">
        <f t="shared" si="5"/>
        <v>1979</v>
      </c>
      <c r="B118" s="7">
        <v>-0.80469769464984797</v>
      </c>
      <c r="C118" s="7">
        <v>-2.755404832556168</v>
      </c>
      <c r="D118" s="7">
        <v>-0.55649999999999999</v>
      </c>
      <c r="E118" s="7">
        <v>-1.8819999999999999</v>
      </c>
      <c r="F118" s="7">
        <f>DATA!E118</f>
        <v>0.15791837584033655</v>
      </c>
      <c r="G118" s="7">
        <f t="shared" si="3"/>
        <v>15.791837584033654</v>
      </c>
      <c r="H118" s="7">
        <f>DATA!F118</f>
        <v>0.25775784568009674</v>
      </c>
      <c r="I118" s="7">
        <f t="shared" si="4"/>
        <v>25.775784568009673</v>
      </c>
      <c r="J118" s="7">
        <v>-0.80469769464984797</v>
      </c>
      <c r="K118" s="7">
        <v>-2.755404832556168</v>
      </c>
      <c r="L118" s="7">
        <v>-0.52549378743939934</v>
      </c>
      <c r="M118" s="7">
        <v>-1.9726426996316853</v>
      </c>
      <c r="N118" s="7">
        <v>0.18721174004192875</v>
      </c>
      <c r="O118" s="7">
        <v>0.30620689655172412</v>
      </c>
    </row>
    <row r="119" spans="1:15" x14ac:dyDescent="0.35">
      <c r="A119">
        <f t="shared" si="5"/>
        <v>1979.25</v>
      </c>
      <c r="B119" s="7">
        <v>0</v>
      </c>
      <c r="C119" s="7">
        <v>0</v>
      </c>
      <c r="D119" s="7">
        <v>0</v>
      </c>
      <c r="E119" s="7">
        <v>0</v>
      </c>
      <c r="F119" s="7">
        <f>DATA!E119</f>
        <v>0.16002784161335531</v>
      </c>
      <c r="G119" s="7">
        <f t="shared" si="3"/>
        <v>16.00278416133553</v>
      </c>
      <c r="H119" s="7">
        <f>DATA!F119</f>
        <v>0.24986347234485609</v>
      </c>
      <c r="I119" s="7">
        <f t="shared" si="4"/>
        <v>24.98634723448561</v>
      </c>
      <c r="J119" s="7">
        <v>0</v>
      </c>
      <c r="K119" s="7">
        <v>0</v>
      </c>
      <c r="L119" s="7">
        <v>0</v>
      </c>
      <c r="M119" s="7">
        <v>0</v>
      </c>
      <c r="N119" s="7">
        <v>0.18863857956586444</v>
      </c>
      <c r="O119" s="7">
        <v>0.30365296803652969</v>
      </c>
    </row>
    <row r="120" spans="1:15" x14ac:dyDescent="0.35">
      <c r="A120">
        <f t="shared" si="5"/>
        <v>1979.5</v>
      </c>
      <c r="B120" s="7">
        <v>0</v>
      </c>
      <c r="C120" s="7">
        <v>0</v>
      </c>
      <c r="D120" s="7">
        <v>0</v>
      </c>
      <c r="E120" s="7">
        <v>0</v>
      </c>
      <c r="F120" s="7">
        <f>DATA!E120</f>
        <v>0.1610149454651548</v>
      </c>
      <c r="G120" s="7">
        <f t="shared" si="3"/>
        <v>16.101494546515479</v>
      </c>
      <c r="H120" s="7">
        <f>DATA!F120</f>
        <v>0.24511171772318269</v>
      </c>
      <c r="I120" s="7">
        <f t="shared" si="4"/>
        <v>24.511171772318267</v>
      </c>
      <c r="J120" s="7">
        <v>0</v>
      </c>
      <c r="K120" s="7">
        <v>0</v>
      </c>
      <c r="L120" s="7">
        <v>0</v>
      </c>
      <c r="M120" s="7">
        <v>0</v>
      </c>
      <c r="N120" s="7">
        <v>0.18988668696650526</v>
      </c>
      <c r="O120" s="7">
        <v>0.30147737765466298</v>
      </c>
    </row>
    <row r="121" spans="1:15" x14ac:dyDescent="0.35">
      <c r="A121">
        <f t="shared" si="5"/>
        <v>1979.75</v>
      </c>
      <c r="B121" s="7">
        <v>0</v>
      </c>
      <c r="C121" s="7">
        <v>0</v>
      </c>
      <c r="D121" s="7">
        <v>0</v>
      </c>
      <c r="E121" s="7">
        <v>0</v>
      </c>
      <c r="F121" s="7">
        <f>DATA!E121</f>
        <v>0.16175581532952249</v>
      </c>
      <c r="G121" s="7">
        <f t="shared" si="3"/>
        <v>16.175581532952251</v>
      </c>
      <c r="H121" s="7">
        <f>DATA!F121</f>
        <v>0.24041425599441182</v>
      </c>
      <c r="I121" s="7">
        <f t="shared" si="4"/>
        <v>24.041425599441183</v>
      </c>
      <c r="J121" s="7">
        <v>0</v>
      </c>
      <c r="K121" s="7">
        <v>0</v>
      </c>
      <c r="L121" s="7">
        <v>0</v>
      </c>
      <c r="M121" s="7">
        <v>0</v>
      </c>
      <c r="N121" s="7">
        <v>0.18964767290126142</v>
      </c>
      <c r="O121" s="7">
        <v>0.29487179487179488</v>
      </c>
    </row>
    <row r="122" spans="1:15" x14ac:dyDescent="0.35">
      <c r="A122">
        <f t="shared" si="5"/>
        <v>1980</v>
      </c>
      <c r="B122" s="7">
        <v>0</v>
      </c>
      <c r="C122" s="7">
        <v>0</v>
      </c>
      <c r="D122" s="7">
        <v>0</v>
      </c>
      <c r="E122" s="7">
        <v>0</v>
      </c>
      <c r="F122" s="7">
        <f>DATA!E122</f>
        <v>0.16492805325230014</v>
      </c>
      <c r="G122" s="7">
        <f t="shared" si="3"/>
        <v>16.492805325230016</v>
      </c>
      <c r="H122" s="7">
        <f>DATA!F122</f>
        <v>0.23971685209470225</v>
      </c>
      <c r="I122" s="7">
        <f t="shared" si="4"/>
        <v>23.971685209470227</v>
      </c>
      <c r="J122" s="7">
        <v>0</v>
      </c>
      <c r="K122" s="7">
        <v>0</v>
      </c>
      <c r="L122" s="7">
        <v>0</v>
      </c>
      <c r="M122" s="7">
        <v>0</v>
      </c>
      <c r="N122" s="7">
        <v>0.18726186556282046</v>
      </c>
      <c r="O122" s="7">
        <v>0.32698877501220108</v>
      </c>
    </row>
    <row r="123" spans="1:15" x14ac:dyDescent="0.35">
      <c r="A123">
        <f t="shared" si="5"/>
        <v>1980.25</v>
      </c>
      <c r="B123" s="7">
        <v>0</v>
      </c>
      <c r="C123" s="7">
        <v>0</v>
      </c>
      <c r="D123" s="7">
        <v>0</v>
      </c>
      <c r="E123" s="7">
        <v>0</v>
      </c>
      <c r="F123" s="7">
        <f>DATA!E123</f>
        <v>0.16555573994455675</v>
      </c>
      <c r="G123" s="7">
        <f t="shared" si="3"/>
        <v>16.555573994455674</v>
      </c>
      <c r="H123" s="7">
        <f>DATA!F123</f>
        <v>0.2452425705745892</v>
      </c>
      <c r="I123" s="7">
        <f t="shared" si="4"/>
        <v>24.524257057458922</v>
      </c>
      <c r="J123" s="7">
        <v>0</v>
      </c>
      <c r="K123" s="7">
        <v>0</v>
      </c>
      <c r="L123" s="7">
        <v>0</v>
      </c>
      <c r="M123" s="7">
        <v>0</v>
      </c>
      <c r="N123" s="7">
        <v>0.18840174997672901</v>
      </c>
      <c r="O123" s="7">
        <v>0.2862068965517241</v>
      </c>
    </row>
    <row r="124" spans="1:15" x14ac:dyDescent="0.35">
      <c r="A124">
        <f t="shared" si="5"/>
        <v>1980.5</v>
      </c>
      <c r="B124" s="7">
        <v>0</v>
      </c>
      <c r="C124" s="7">
        <v>0</v>
      </c>
      <c r="D124" s="7">
        <v>0</v>
      </c>
      <c r="E124" s="7">
        <v>0</v>
      </c>
      <c r="F124" s="7">
        <f>DATA!E124</f>
        <v>0.16337376054091557</v>
      </c>
      <c r="G124" s="7">
        <f t="shared" si="3"/>
        <v>16.337376054091557</v>
      </c>
      <c r="H124" s="7">
        <f>DATA!F124</f>
        <v>0.24525495480606652</v>
      </c>
      <c r="I124" s="7">
        <f t="shared" si="4"/>
        <v>24.525495480606651</v>
      </c>
      <c r="J124" s="7">
        <v>0</v>
      </c>
      <c r="K124" s="7">
        <v>0</v>
      </c>
      <c r="L124" s="7">
        <v>0</v>
      </c>
      <c r="M124" s="7">
        <v>0</v>
      </c>
      <c r="N124" s="7">
        <v>0.18942430315175801</v>
      </c>
      <c r="O124" s="7">
        <v>0.30853994490358128</v>
      </c>
    </row>
    <row r="125" spans="1:15" x14ac:dyDescent="0.35">
      <c r="A125">
        <f t="shared" si="5"/>
        <v>1980.75</v>
      </c>
      <c r="B125" s="7">
        <v>0</v>
      </c>
      <c r="C125" s="7">
        <v>0</v>
      </c>
      <c r="D125" s="7">
        <v>0</v>
      </c>
      <c r="E125" s="7">
        <v>0</v>
      </c>
      <c r="F125" s="7">
        <f>DATA!E125</f>
        <v>0.16394567377094849</v>
      </c>
      <c r="G125" s="7">
        <f t="shared" si="3"/>
        <v>16.394567377094848</v>
      </c>
      <c r="H125" s="7">
        <f>DATA!F125</f>
        <v>0.2441497561610807</v>
      </c>
      <c r="I125" s="7">
        <f t="shared" si="4"/>
        <v>24.41497561610807</v>
      </c>
      <c r="J125" s="7">
        <v>0</v>
      </c>
      <c r="K125" s="7">
        <v>0</v>
      </c>
      <c r="L125" s="7">
        <v>0</v>
      </c>
      <c r="M125" s="7">
        <v>0</v>
      </c>
      <c r="N125" s="7">
        <v>0.18876511637987084</v>
      </c>
      <c r="O125" s="7">
        <v>0.31145885916203941</v>
      </c>
    </row>
    <row r="126" spans="1:15" x14ac:dyDescent="0.35">
      <c r="A126">
        <f t="shared" si="5"/>
        <v>1981</v>
      </c>
      <c r="B126" s="7">
        <v>0</v>
      </c>
      <c r="C126" s="7">
        <v>0</v>
      </c>
      <c r="D126" s="7">
        <v>0</v>
      </c>
      <c r="E126" s="7">
        <v>0</v>
      </c>
      <c r="F126" s="7">
        <f>DATA!E126</f>
        <v>0.16538869929654618</v>
      </c>
      <c r="G126" s="7">
        <f t="shared" si="3"/>
        <v>16.538869929654616</v>
      </c>
      <c r="H126" s="7">
        <f>DATA!F126</f>
        <v>0.22863045970495233</v>
      </c>
      <c r="I126" s="7">
        <f t="shared" si="4"/>
        <v>22.863045970495232</v>
      </c>
      <c r="J126" s="7">
        <v>0</v>
      </c>
      <c r="K126" s="7">
        <v>0</v>
      </c>
      <c r="L126" s="7">
        <v>0</v>
      </c>
      <c r="M126" s="7">
        <v>0</v>
      </c>
      <c r="N126" s="7">
        <v>0.1960018478854311</v>
      </c>
      <c r="O126" s="7">
        <v>0.28165623495426095</v>
      </c>
    </row>
    <row r="127" spans="1:15" x14ac:dyDescent="0.35">
      <c r="A127">
        <f t="shared" si="5"/>
        <v>1981.25</v>
      </c>
      <c r="B127" s="7">
        <v>0</v>
      </c>
      <c r="C127" s="7">
        <v>0</v>
      </c>
      <c r="D127" s="7">
        <v>0</v>
      </c>
      <c r="E127" s="7">
        <v>0</v>
      </c>
      <c r="F127" s="7">
        <f>DATA!E127</f>
        <v>0.16789030752408565</v>
      </c>
      <c r="G127" s="7">
        <f t="shared" si="3"/>
        <v>16.789030752408564</v>
      </c>
      <c r="H127" s="7">
        <f>DATA!F127</f>
        <v>0.24452077562326868</v>
      </c>
      <c r="I127" s="7">
        <f t="shared" si="4"/>
        <v>24.452077562326867</v>
      </c>
      <c r="J127" s="7">
        <v>0</v>
      </c>
      <c r="K127" s="7">
        <v>0</v>
      </c>
      <c r="L127" s="7">
        <v>0</v>
      </c>
      <c r="M127" s="7">
        <v>0</v>
      </c>
      <c r="N127" s="7">
        <v>0.1975791510560336</v>
      </c>
      <c r="O127" s="7">
        <v>0.24950787401574806</v>
      </c>
    </row>
    <row r="128" spans="1:15" x14ac:dyDescent="0.35">
      <c r="A128">
        <f t="shared" si="5"/>
        <v>1981.5</v>
      </c>
      <c r="B128" s="7">
        <v>-0.16525511258004549</v>
      </c>
      <c r="C128" s="7">
        <v>-2.2099447513812152</v>
      </c>
      <c r="D128" s="7">
        <v>8.2900000000000001E-2</v>
      </c>
      <c r="E128" s="7">
        <v>-1.3365000000000002</v>
      </c>
      <c r="F128" s="7">
        <f>DATA!E128</f>
        <v>0.17185280839983769</v>
      </c>
      <c r="G128" s="7">
        <f t="shared" si="3"/>
        <v>17.185280839983768</v>
      </c>
      <c r="H128" s="7">
        <f>DATA!F128</f>
        <v>0.23991046720429529</v>
      </c>
      <c r="I128" s="7">
        <f t="shared" si="4"/>
        <v>23.99104672042953</v>
      </c>
      <c r="J128" s="7">
        <v>-0.16525511258004549</v>
      </c>
      <c r="K128" s="7">
        <v>-2.2099447513812152</v>
      </c>
      <c r="L128" s="7">
        <v>0.11394879463040314</v>
      </c>
      <c r="M128" s="7">
        <v>-1.4271826184567324</v>
      </c>
      <c r="N128" s="7">
        <v>0.19719150290397008</v>
      </c>
      <c r="O128" s="7">
        <v>0.23900226757369616</v>
      </c>
    </row>
    <row r="129" spans="1:15" x14ac:dyDescent="0.35">
      <c r="A129">
        <f t="shared" si="5"/>
        <v>1981.75</v>
      </c>
      <c r="B129" s="7">
        <v>0</v>
      </c>
      <c r="C129" s="7">
        <v>0</v>
      </c>
      <c r="D129" s="7">
        <v>0</v>
      </c>
      <c r="E129" s="7">
        <v>0</v>
      </c>
      <c r="F129" s="7">
        <f>DATA!E129</f>
        <v>0.17484994552817118</v>
      </c>
      <c r="G129" s="7">
        <f t="shared" si="3"/>
        <v>17.484994552817117</v>
      </c>
      <c r="H129" s="7">
        <f>DATA!F129</f>
        <v>0.23827368578123997</v>
      </c>
      <c r="I129" s="7">
        <f t="shared" si="4"/>
        <v>23.827368578123998</v>
      </c>
      <c r="J129" s="7">
        <v>0</v>
      </c>
      <c r="K129" s="7">
        <v>0</v>
      </c>
      <c r="L129" s="7">
        <v>0</v>
      </c>
      <c r="M129" s="7">
        <v>0</v>
      </c>
      <c r="N129" s="7">
        <v>0.19302307330089466</v>
      </c>
      <c r="O129" s="7">
        <v>0.21939275220372184</v>
      </c>
    </row>
    <row r="130" spans="1:15" x14ac:dyDescent="0.35">
      <c r="A130">
        <f t="shared" si="5"/>
        <v>1982</v>
      </c>
      <c r="B130" s="7">
        <v>0</v>
      </c>
      <c r="C130" s="7">
        <v>0</v>
      </c>
      <c r="D130" s="7">
        <v>0</v>
      </c>
      <c r="E130" s="7">
        <v>0</v>
      </c>
      <c r="F130" s="7">
        <f>DATA!E130</f>
        <v>0.17641808252185118</v>
      </c>
      <c r="G130" s="7">
        <f t="shared" ref="G130:G193" si="6">F130*100</f>
        <v>17.641808252185118</v>
      </c>
      <c r="H130" s="7">
        <f>DATA!F130</f>
        <v>0.22632819558321046</v>
      </c>
      <c r="I130" s="7">
        <f t="shared" si="4"/>
        <v>22.632819558321046</v>
      </c>
      <c r="J130" s="7">
        <v>0</v>
      </c>
      <c r="K130" s="7">
        <v>0</v>
      </c>
      <c r="L130" s="7">
        <v>0</v>
      </c>
      <c r="M130" s="7">
        <v>0</v>
      </c>
      <c r="N130" s="7">
        <v>0.19317873872478802</v>
      </c>
      <c r="O130" s="7">
        <v>0.18406593406593408</v>
      </c>
    </row>
    <row r="131" spans="1:15" x14ac:dyDescent="0.35">
      <c r="A131">
        <f t="shared" si="5"/>
        <v>1982.25</v>
      </c>
      <c r="B131" s="7">
        <v>0</v>
      </c>
      <c r="C131" s="7">
        <v>0</v>
      </c>
      <c r="D131" s="7">
        <v>0</v>
      </c>
      <c r="E131" s="7">
        <v>0</v>
      </c>
      <c r="F131" s="7">
        <f>DATA!E131</f>
        <v>0.1791302579286021</v>
      </c>
      <c r="G131" s="7">
        <f t="shared" si="6"/>
        <v>17.913025792860211</v>
      </c>
      <c r="H131" s="7">
        <f>DATA!F131</f>
        <v>0.21956813734064215</v>
      </c>
      <c r="I131" s="7">
        <f t="shared" ref="I131:I194" si="7">H131*100</f>
        <v>21.956813734064216</v>
      </c>
      <c r="J131" s="7">
        <v>0</v>
      </c>
      <c r="K131" s="7">
        <v>0</v>
      </c>
      <c r="L131" s="7">
        <v>0</v>
      </c>
      <c r="M131" s="7">
        <v>0</v>
      </c>
      <c r="N131" s="7">
        <v>0.19321736476691842</v>
      </c>
      <c r="O131" s="7">
        <v>0.17713118938233793</v>
      </c>
    </row>
    <row r="132" spans="1:15" x14ac:dyDescent="0.35">
      <c r="A132">
        <f t="shared" ref="A132:A195" si="8">A131+0.25</f>
        <v>1982.5</v>
      </c>
      <c r="B132" s="7">
        <v>0</v>
      </c>
      <c r="C132" s="7">
        <v>0</v>
      </c>
      <c r="D132" s="7">
        <v>0</v>
      </c>
      <c r="E132" s="7">
        <v>0</v>
      </c>
      <c r="F132" s="7">
        <f>DATA!E132</f>
        <v>0.18043110595257836</v>
      </c>
      <c r="G132" s="7">
        <f t="shared" si="6"/>
        <v>18.043110595257836</v>
      </c>
      <c r="H132" s="7">
        <f>DATA!F132</f>
        <v>0.21275763620008606</v>
      </c>
      <c r="I132" s="7">
        <f t="shared" si="7"/>
        <v>21.275763620008608</v>
      </c>
      <c r="J132" s="7">
        <v>0</v>
      </c>
      <c r="K132" s="7">
        <v>0</v>
      </c>
      <c r="L132" s="7">
        <v>0</v>
      </c>
      <c r="M132" s="7">
        <v>0</v>
      </c>
      <c r="N132" s="7">
        <v>0.18755434577142643</v>
      </c>
      <c r="O132" s="7">
        <v>0.18181818181818182</v>
      </c>
    </row>
    <row r="133" spans="1:15" x14ac:dyDescent="0.35">
      <c r="A133">
        <f t="shared" si="8"/>
        <v>1982.75</v>
      </c>
      <c r="B133" s="7">
        <v>0</v>
      </c>
      <c r="C133" s="7">
        <v>0</v>
      </c>
      <c r="D133" s="7">
        <v>0</v>
      </c>
      <c r="E133" s="7">
        <v>0</v>
      </c>
      <c r="F133" s="7">
        <f>DATA!E133</f>
        <v>0.1816277322120948</v>
      </c>
      <c r="G133" s="7">
        <f t="shared" si="6"/>
        <v>18.162773221209481</v>
      </c>
      <c r="H133" s="7">
        <f>DATA!F133</f>
        <v>0.20695029037242263</v>
      </c>
      <c r="I133" s="7">
        <f t="shared" si="7"/>
        <v>20.695029037242264</v>
      </c>
      <c r="J133" s="7">
        <v>0</v>
      </c>
      <c r="K133" s="7">
        <v>0</v>
      </c>
      <c r="L133" s="7">
        <v>0</v>
      </c>
      <c r="M133" s="7">
        <v>0</v>
      </c>
      <c r="N133" s="7">
        <v>0.18802395209580838</v>
      </c>
      <c r="O133" s="7">
        <v>0.16745905969360803</v>
      </c>
    </row>
    <row r="134" spans="1:15" x14ac:dyDescent="0.35">
      <c r="A134">
        <f t="shared" si="8"/>
        <v>1983</v>
      </c>
      <c r="B134" s="7">
        <v>0</v>
      </c>
      <c r="C134" s="7">
        <v>0</v>
      </c>
      <c r="D134" s="7">
        <v>0</v>
      </c>
      <c r="E134" s="7">
        <v>0</v>
      </c>
      <c r="F134" s="7">
        <f>DATA!E134</f>
        <v>0.17768957361366303</v>
      </c>
      <c r="G134" s="7">
        <f t="shared" si="6"/>
        <v>17.768957361366304</v>
      </c>
      <c r="H134" s="7">
        <f>DATA!F134</f>
        <v>0.21709997667124603</v>
      </c>
      <c r="I134" s="7">
        <f t="shared" si="7"/>
        <v>21.709997667124604</v>
      </c>
      <c r="J134" s="7">
        <v>0</v>
      </c>
      <c r="K134" s="7">
        <v>0</v>
      </c>
      <c r="L134" s="7">
        <v>0</v>
      </c>
      <c r="M134" s="7">
        <v>0</v>
      </c>
      <c r="N134" s="7">
        <v>0.18660674819507886</v>
      </c>
      <c r="O134" s="7">
        <v>0.16255924170616112</v>
      </c>
    </row>
    <row r="135" spans="1:15" x14ac:dyDescent="0.35">
      <c r="A135">
        <f t="shared" si="8"/>
        <v>1983.25</v>
      </c>
      <c r="B135" s="7">
        <v>0</v>
      </c>
      <c r="C135" s="7">
        <v>0</v>
      </c>
      <c r="D135" s="7">
        <v>0</v>
      </c>
      <c r="E135" s="7">
        <v>0</v>
      </c>
      <c r="F135" s="7">
        <f>DATA!E135</f>
        <v>0.17808683958088503</v>
      </c>
      <c r="G135" s="7">
        <f t="shared" si="6"/>
        <v>17.808683958088505</v>
      </c>
      <c r="H135" s="7">
        <f>DATA!F135</f>
        <v>0.19192284880183016</v>
      </c>
      <c r="I135" s="7">
        <f t="shared" si="7"/>
        <v>19.192284880183017</v>
      </c>
      <c r="J135" s="7">
        <v>0</v>
      </c>
      <c r="K135" s="7">
        <v>0</v>
      </c>
      <c r="L135" s="7">
        <v>0</v>
      </c>
      <c r="M135" s="7">
        <v>0</v>
      </c>
      <c r="N135" s="7">
        <v>0.18660633484162892</v>
      </c>
      <c r="O135" s="7">
        <v>0.1914014055394791</v>
      </c>
    </row>
    <row r="136" spans="1:15" x14ac:dyDescent="0.35">
      <c r="A136">
        <f t="shared" si="8"/>
        <v>1983.5</v>
      </c>
      <c r="B136" s="7">
        <v>0</v>
      </c>
      <c r="C136" s="7">
        <v>0</v>
      </c>
      <c r="D136" s="7">
        <v>0</v>
      </c>
      <c r="E136" s="7">
        <v>0</v>
      </c>
      <c r="F136" s="7">
        <f>DATA!E136</f>
        <v>0.17710428649533402</v>
      </c>
      <c r="G136" s="7">
        <f t="shared" si="6"/>
        <v>17.710428649533402</v>
      </c>
      <c r="H136" s="7">
        <f>DATA!F136</f>
        <v>0.20390224703541468</v>
      </c>
      <c r="I136" s="7">
        <f t="shared" si="7"/>
        <v>20.390224703541467</v>
      </c>
      <c r="J136" s="7">
        <v>0</v>
      </c>
      <c r="K136" s="7">
        <v>0</v>
      </c>
      <c r="L136" s="7">
        <v>0</v>
      </c>
      <c r="M136" s="7">
        <v>0</v>
      </c>
      <c r="N136" s="7">
        <v>0.17708591016715552</v>
      </c>
      <c r="O136" s="7">
        <v>0.20610982211910284</v>
      </c>
    </row>
    <row r="137" spans="1:15" x14ac:dyDescent="0.35">
      <c r="A137">
        <f t="shared" si="8"/>
        <v>1983.75</v>
      </c>
      <c r="B137" s="7">
        <v>0</v>
      </c>
      <c r="C137" s="7">
        <v>0</v>
      </c>
      <c r="D137" s="7">
        <v>0</v>
      </c>
      <c r="E137" s="7">
        <v>0</v>
      </c>
      <c r="F137" s="7">
        <f>DATA!E137</f>
        <v>0.17845447011537602</v>
      </c>
      <c r="G137" s="7">
        <f t="shared" si="6"/>
        <v>17.845447011537601</v>
      </c>
      <c r="H137" s="7">
        <f>DATA!F137</f>
        <v>0.21385344740885115</v>
      </c>
      <c r="I137" s="7">
        <f t="shared" si="7"/>
        <v>21.385344740885117</v>
      </c>
      <c r="J137" s="7">
        <v>0</v>
      </c>
      <c r="K137" s="7">
        <v>0</v>
      </c>
      <c r="L137" s="7">
        <v>0</v>
      </c>
      <c r="M137" s="7">
        <v>0</v>
      </c>
      <c r="N137" s="7">
        <v>0.1763837891630349</v>
      </c>
      <c r="O137" s="7">
        <v>0.20267260579064586</v>
      </c>
    </row>
    <row r="138" spans="1:15" x14ac:dyDescent="0.35">
      <c r="A138">
        <f t="shared" si="8"/>
        <v>1984</v>
      </c>
      <c r="B138" s="7">
        <v>0</v>
      </c>
      <c r="C138" s="7">
        <v>0</v>
      </c>
      <c r="D138" s="7">
        <v>0</v>
      </c>
      <c r="E138" s="7">
        <v>0</v>
      </c>
      <c r="F138" s="7">
        <f>DATA!E138</f>
        <v>0.18513167177516751</v>
      </c>
      <c r="G138" s="7">
        <f t="shared" si="6"/>
        <v>18.513167177516753</v>
      </c>
      <c r="H138" s="7">
        <f>DATA!F138</f>
        <v>0.2009398889846247</v>
      </c>
      <c r="I138" s="7">
        <f t="shared" si="7"/>
        <v>20.09398889846247</v>
      </c>
      <c r="J138" s="7">
        <v>0</v>
      </c>
      <c r="K138" s="7">
        <v>0</v>
      </c>
      <c r="L138" s="7">
        <v>0</v>
      </c>
      <c r="M138" s="7">
        <v>0</v>
      </c>
      <c r="N138" s="7">
        <v>0.17708953742306932</v>
      </c>
      <c r="O138" s="7">
        <v>0.21906693711967543</v>
      </c>
    </row>
    <row r="139" spans="1:15" x14ac:dyDescent="0.35">
      <c r="A139">
        <f t="shared" si="8"/>
        <v>1984.25</v>
      </c>
      <c r="B139" s="7">
        <v>0</v>
      </c>
      <c r="C139" s="7">
        <v>0</v>
      </c>
      <c r="D139" s="7">
        <v>0</v>
      </c>
      <c r="E139" s="7">
        <v>0</v>
      </c>
      <c r="F139" s="7">
        <f>DATA!E139</f>
        <v>0.18702909010647298</v>
      </c>
      <c r="G139" s="7">
        <f t="shared" si="6"/>
        <v>18.702909010647296</v>
      </c>
      <c r="H139" s="7">
        <f>DATA!F139</f>
        <v>0.18732798652337906</v>
      </c>
      <c r="I139" s="7">
        <f t="shared" si="7"/>
        <v>18.732798652337905</v>
      </c>
      <c r="J139" s="7">
        <v>0</v>
      </c>
      <c r="K139" s="7">
        <v>0</v>
      </c>
      <c r="L139" s="7">
        <v>0</v>
      </c>
      <c r="M139" s="7">
        <v>0</v>
      </c>
      <c r="N139" s="7">
        <v>0.17580650348975588</v>
      </c>
      <c r="O139" s="7">
        <v>0.20768229166666666</v>
      </c>
    </row>
    <row r="140" spans="1:15" x14ac:dyDescent="0.35">
      <c r="A140">
        <f t="shared" si="8"/>
        <v>1984.5</v>
      </c>
      <c r="B140" s="7">
        <v>0.18104813940706732</v>
      </c>
      <c r="C140" s="7">
        <v>1.0210396039603962</v>
      </c>
      <c r="D140" s="7">
        <v>0.42920000000000003</v>
      </c>
      <c r="E140" s="7">
        <v>1.8943999999999999</v>
      </c>
      <c r="F140" s="7">
        <f>DATA!E140</f>
        <v>0.18647343394852708</v>
      </c>
      <c r="G140" s="7">
        <f t="shared" si="6"/>
        <v>18.647343394852708</v>
      </c>
      <c r="H140" s="7">
        <f>DATA!F140</f>
        <v>0.18921713653793679</v>
      </c>
      <c r="I140" s="7">
        <f t="shared" si="7"/>
        <v>18.921713653793677</v>
      </c>
      <c r="J140" s="7">
        <v>0.18104813940706732</v>
      </c>
      <c r="K140" s="7">
        <v>1.0210396039603962</v>
      </c>
      <c r="L140" s="7">
        <v>0.46025204661751595</v>
      </c>
      <c r="M140" s="7">
        <v>1.8038017368848789</v>
      </c>
      <c r="N140" s="7">
        <v>0.17643926580216751</v>
      </c>
      <c r="O140" s="7">
        <v>0.1795128461795128</v>
      </c>
    </row>
    <row r="141" spans="1:15" x14ac:dyDescent="0.35">
      <c r="A141">
        <f t="shared" si="8"/>
        <v>1984.75</v>
      </c>
      <c r="B141" s="7">
        <v>0</v>
      </c>
      <c r="C141" s="7">
        <v>0</v>
      </c>
      <c r="D141" s="7">
        <v>0</v>
      </c>
      <c r="E141" s="7">
        <v>0</v>
      </c>
      <c r="F141" s="7">
        <f>DATA!E141</f>
        <v>0.18306716550387683</v>
      </c>
      <c r="G141" s="7">
        <f t="shared" si="6"/>
        <v>18.306716550387684</v>
      </c>
      <c r="H141" s="7">
        <f>DATA!F141</f>
        <v>0.16829773555253949</v>
      </c>
      <c r="I141" s="7">
        <f t="shared" si="7"/>
        <v>16.829773555253951</v>
      </c>
      <c r="J141" s="7">
        <v>0</v>
      </c>
      <c r="K141" s="7">
        <v>0</v>
      </c>
      <c r="L141" s="7">
        <v>0</v>
      </c>
      <c r="M141" s="7">
        <v>0</v>
      </c>
      <c r="N141" s="7">
        <v>0.1776990605267211</v>
      </c>
      <c r="O141" s="7">
        <v>0.17750898986596925</v>
      </c>
    </row>
    <row r="142" spans="1:15" x14ac:dyDescent="0.35">
      <c r="A142">
        <f t="shared" si="8"/>
        <v>1985</v>
      </c>
      <c r="B142" s="7">
        <v>0</v>
      </c>
      <c r="C142" s="7">
        <v>0</v>
      </c>
      <c r="D142" s="7">
        <v>0</v>
      </c>
      <c r="E142" s="7">
        <v>0</v>
      </c>
      <c r="F142" s="7">
        <f>DATA!E142</f>
        <v>0.18227145453652305</v>
      </c>
      <c r="G142" s="7">
        <f t="shared" si="6"/>
        <v>18.227145453652305</v>
      </c>
      <c r="H142" s="7">
        <f>DATA!F142</f>
        <v>0.14304511278195489</v>
      </c>
      <c r="I142" s="7">
        <f t="shared" si="7"/>
        <v>14.30451127819549</v>
      </c>
      <c r="J142" s="7">
        <v>0</v>
      </c>
      <c r="K142" s="7">
        <v>0</v>
      </c>
      <c r="L142" s="7">
        <v>0</v>
      </c>
      <c r="M142" s="7">
        <v>0</v>
      </c>
      <c r="N142" s="7">
        <v>0.18873511814830482</v>
      </c>
      <c r="O142" s="7">
        <v>0.18673139158576052</v>
      </c>
    </row>
    <row r="143" spans="1:15" x14ac:dyDescent="0.35">
      <c r="A143">
        <f t="shared" si="8"/>
        <v>1985.25</v>
      </c>
      <c r="B143" s="7">
        <v>0</v>
      </c>
      <c r="C143" s="7">
        <v>0</v>
      </c>
      <c r="D143" s="7">
        <v>0</v>
      </c>
      <c r="E143" s="7">
        <v>0</v>
      </c>
      <c r="F143" s="7">
        <f>DATA!E143</f>
        <v>0.18240352171965188</v>
      </c>
      <c r="G143" s="7">
        <f t="shared" si="6"/>
        <v>18.240352171965188</v>
      </c>
      <c r="H143" s="7">
        <f>DATA!F143</f>
        <v>0.14588828223435529</v>
      </c>
      <c r="I143" s="7">
        <f t="shared" si="7"/>
        <v>14.588828223435529</v>
      </c>
      <c r="J143" s="7">
        <v>0</v>
      </c>
      <c r="K143" s="7">
        <v>0</v>
      </c>
      <c r="L143" s="7">
        <v>0</v>
      </c>
      <c r="M143" s="7">
        <v>0</v>
      </c>
      <c r="N143" s="7">
        <v>0.17395718252664896</v>
      </c>
      <c r="O143" s="7">
        <v>0.18114543114543116</v>
      </c>
    </row>
    <row r="144" spans="1:15" x14ac:dyDescent="0.35">
      <c r="A144">
        <f t="shared" si="8"/>
        <v>1985.5</v>
      </c>
      <c r="B144" s="7">
        <v>0</v>
      </c>
      <c r="C144" s="7">
        <v>0</v>
      </c>
      <c r="D144" s="7">
        <v>0</v>
      </c>
      <c r="E144" s="7">
        <v>0</v>
      </c>
      <c r="F144" s="7">
        <f>DATA!E144</f>
        <v>0.17635720655310569</v>
      </c>
      <c r="G144" s="7">
        <f t="shared" si="6"/>
        <v>17.635720655310568</v>
      </c>
      <c r="H144" s="7">
        <f>DATA!F144</f>
        <v>0.15142344190818158</v>
      </c>
      <c r="I144" s="7">
        <f t="shared" si="7"/>
        <v>15.142344190818157</v>
      </c>
      <c r="J144" s="7">
        <v>0</v>
      </c>
      <c r="K144" s="7">
        <v>0</v>
      </c>
      <c r="L144" s="7">
        <v>0</v>
      </c>
      <c r="M144" s="7">
        <v>0</v>
      </c>
      <c r="N144" s="7">
        <v>0.18304152371938959</v>
      </c>
      <c r="O144" s="7">
        <v>0.18441006976038823</v>
      </c>
    </row>
    <row r="145" spans="1:15" x14ac:dyDescent="0.35">
      <c r="A145">
        <f t="shared" si="8"/>
        <v>1985.75</v>
      </c>
      <c r="B145" s="7">
        <v>0</v>
      </c>
      <c r="C145" s="7">
        <v>0</v>
      </c>
      <c r="D145" s="7">
        <v>0</v>
      </c>
      <c r="E145" s="7">
        <v>0</v>
      </c>
      <c r="F145" s="7">
        <f>DATA!E145</f>
        <v>0.17622392030838871</v>
      </c>
      <c r="G145" s="7">
        <f t="shared" si="6"/>
        <v>17.622392030838871</v>
      </c>
      <c r="H145" s="7">
        <f>DATA!F145</f>
        <v>0.14213898472153771</v>
      </c>
      <c r="I145" s="7">
        <f t="shared" si="7"/>
        <v>14.213898472153771</v>
      </c>
      <c r="J145" s="7">
        <v>0</v>
      </c>
      <c r="K145" s="7">
        <v>0</v>
      </c>
      <c r="L145" s="7">
        <v>0</v>
      </c>
      <c r="M145" s="7">
        <v>0</v>
      </c>
      <c r="N145" s="7">
        <v>0.18254589750282782</v>
      </c>
      <c r="O145" s="7">
        <v>0.18718274111675129</v>
      </c>
    </row>
    <row r="146" spans="1:15" x14ac:dyDescent="0.35">
      <c r="A146">
        <f t="shared" si="8"/>
        <v>1986</v>
      </c>
      <c r="B146" s="7">
        <v>0</v>
      </c>
      <c r="C146" s="7">
        <v>0</v>
      </c>
      <c r="D146" s="7">
        <v>0</v>
      </c>
      <c r="E146" s="7">
        <v>0</v>
      </c>
      <c r="F146" s="7">
        <f>DATA!E146</f>
        <v>0.17439502641233109</v>
      </c>
      <c r="G146" s="7">
        <f t="shared" si="6"/>
        <v>17.439502641233108</v>
      </c>
      <c r="H146" s="7">
        <f>DATA!F146</f>
        <v>0.15137140585663178</v>
      </c>
      <c r="I146" s="7">
        <f t="shared" si="7"/>
        <v>15.137140585663179</v>
      </c>
      <c r="J146" s="7">
        <v>0</v>
      </c>
      <c r="K146" s="7">
        <v>0</v>
      </c>
      <c r="L146" s="7">
        <v>0</v>
      </c>
      <c r="M146" s="7">
        <v>0</v>
      </c>
      <c r="N146" s="7">
        <v>0.1812913907284768</v>
      </c>
      <c r="O146" s="7">
        <v>0.20428015564202337</v>
      </c>
    </row>
    <row r="147" spans="1:15" x14ac:dyDescent="0.35">
      <c r="A147">
        <f t="shared" si="8"/>
        <v>1986.25</v>
      </c>
      <c r="B147" s="7">
        <v>0</v>
      </c>
      <c r="C147" s="7">
        <v>0</v>
      </c>
      <c r="D147" s="7">
        <v>0</v>
      </c>
      <c r="E147" s="7">
        <v>0</v>
      </c>
      <c r="F147" s="7">
        <f>DATA!E147</f>
        <v>0.17476582845978719</v>
      </c>
      <c r="G147" s="7">
        <f t="shared" si="6"/>
        <v>17.476582845978719</v>
      </c>
      <c r="H147" s="7">
        <f>DATA!F147</f>
        <v>0.17743407980237366</v>
      </c>
      <c r="I147" s="7">
        <f t="shared" si="7"/>
        <v>17.743407980237365</v>
      </c>
      <c r="J147" s="7">
        <v>0</v>
      </c>
      <c r="K147" s="7">
        <v>0</v>
      </c>
      <c r="L147" s="7">
        <v>0</v>
      </c>
      <c r="M147" s="7">
        <v>0</v>
      </c>
      <c r="N147" s="7">
        <v>0.18076575559069349</v>
      </c>
      <c r="O147" s="7">
        <v>0.21154487821154483</v>
      </c>
    </row>
    <row r="148" spans="1:15" x14ac:dyDescent="0.35">
      <c r="A148">
        <f t="shared" si="8"/>
        <v>1986.5</v>
      </c>
      <c r="B148" s="7">
        <v>0</v>
      </c>
      <c r="C148" s="7">
        <v>0</v>
      </c>
      <c r="D148" s="7">
        <v>0</v>
      </c>
      <c r="E148" s="7">
        <v>0</v>
      </c>
      <c r="F148" s="7">
        <f>DATA!E148</f>
        <v>0.16688369198043707</v>
      </c>
      <c r="G148" s="7">
        <f t="shared" si="6"/>
        <v>16.688369198043706</v>
      </c>
      <c r="H148" s="7">
        <f>DATA!F148</f>
        <v>0.19005857334859164</v>
      </c>
      <c r="I148" s="7">
        <f t="shared" si="7"/>
        <v>19.005857334859165</v>
      </c>
      <c r="J148" s="7">
        <v>0</v>
      </c>
      <c r="K148" s="7">
        <v>0</v>
      </c>
      <c r="L148" s="7">
        <v>0</v>
      </c>
      <c r="M148" s="7">
        <v>0</v>
      </c>
      <c r="N148" s="7">
        <v>0.18160035662543184</v>
      </c>
      <c r="O148" s="7">
        <v>0.22108145106091717</v>
      </c>
    </row>
    <row r="149" spans="1:15" x14ac:dyDescent="0.35">
      <c r="A149">
        <f t="shared" si="8"/>
        <v>1986.75</v>
      </c>
      <c r="B149" s="7">
        <v>0</v>
      </c>
      <c r="C149" s="7">
        <v>7.3821138211382111</v>
      </c>
      <c r="D149" s="7">
        <v>0</v>
      </c>
      <c r="E149" s="7">
        <v>8.2554999999999996</v>
      </c>
      <c r="F149" s="7">
        <f>DATA!E149</f>
        <v>0.16671339810980487</v>
      </c>
      <c r="G149" s="7">
        <f t="shared" si="6"/>
        <v>16.671339810980488</v>
      </c>
      <c r="H149" s="7">
        <f>DATA!F149</f>
        <v>0.1897048711198783</v>
      </c>
      <c r="I149" s="7">
        <f t="shared" si="7"/>
        <v>18.970487111987829</v>
      </c>
      <c r="J149" s="7">
        <v>0</v>
      </c>
      <c r="K149" s="7">
        <v>7.3821138211382111</v>
      </c>
      <c r="L149" s="7">
        <v>0</v>
      </c>
      <c r="M149" s="7">
        <v>8.1648759540626941</v>
      </c>
      <c r="N149" s="7">
        <v>0.18402729999724801</v>
      </c>
      <c r="O149" s="7">
        <v>0.24855491329479765</v>
      </c>
    </row>
    <row r="150" spans="1:15" x14ac:dyDescent="0.35">
      <c r="A150">
        <f t="shared" si="8"/>
        <v>1987</v>
      </c>
      <c r="B150" s="7">
        <v>-0.19907100199070998</v>
      </c>
      <c r="C150" s="7">
        <v>0</v>
      </c>
      <c r="D150" s="7">
        <v>4.9100000000000005E-2</v>
      </c>
      <c r="E150" s="7">
        <v>0</v>
      </c>
      <c r="F150" s="7">
        <f>DATA!E150</f>
        <v>0.1676110563585638</v>
      </c>
      <c r="G150" s="7">
        <f t="shared" si="6"/>
        <v>16.761105635856381</v>
      </c>
      <c r="H150" s="7">
        <f>DATA!F150</f>
        <v>0.21007052478738852</v>
      </c>
      <c r="I150" s="7">
        <f t="shared" si="7"/>
        <v>21.007052478738853</v>
      </c>
      <c r="J150" s="7">
        <v>-0.19907100199070998</v>
      </c>
      <c r="K150" s="7">
        <v>0</v>
      </c>
      <c r="L150" s="7">
        <v>8.0132905219738648E-2</v>
      </c>
      <c r="M150" s="7">
        <v>0</v>
      </c>
      <c r="N150" s="7">
        <v>0.1811486285234627</v>
      </c>
      <c r="O150" s="7">
        <v>0.24691358024691357</v>
      </c>
    </row>
    <row r="151" spans="1:15" x14ac:dyDescent="0.35">
      <c r="A151">
        <f t="shared" si="8"/>
        <v>1987.25</v>
      </c>
      <c r="B151" s="7">
        <v>0</v>
      </c>
      <c r="C151" s="7">
        <v>0</v>
      </c>
      <c r="D151" s="7">
        <v>0</v>
      </c>
      <c r="E151" s="7">
        <v>0</v>
      </c>
      <c r="F151" s="7">
        <f>DATA!E151</f>
        <v>0.16715064827996257</v>
      </c>
      <c r="G151" s="7">
        <f t="shared" si="6"/>
        <v>16.715064827996258</v>
      </c>
      <c r="H151" s="7">
        <f>DATA!F151</f>
        <v>0.20707495269408407</v>
      </c>
      <c r="I151" s="7">
        <f t="shared" si="7"/>
        <v>20.707495269408408</v>
      </c>
      <c r="J151" s="7">
        <v>0</v>
      </c>
      <c r="K151" s="7">
        <v>0</v>
      </c>
      <c r="L151" s="7">
        <v>0</v>
      </c>
      <c r="M151" s="7">
        <v>0</v>
      </c>
      <c r="N151" s="7">
        <v>0.19344673805645313</v>
      </c>
      <c r="O151" s="7">
        <v>0.25173010380622834</v>
      </c>
    </row>
    <row r="152" spans="1:15" x14ac:dyDescent="0.35">
      <c r="A152">
        <f t="shared" si="8"/>
        <v>1987.5</v>
      </c>
      <c r="B152" s="7">
        <v>0</v>
      </c>
      <c r="C152" s="7">
        <v>0</v>
      </c>
      <c r="D152" s="7">
        <v>0</v>
      </c>
      <c r="E152" s="7">
        <v>0</v>
      </c>
      <c r="F152" s="7">
        <f>DATA!E152</f>
        <v>0.16872062624068315</v>
      </c>
      <c r="G152" s="7">
        <f t="shared" si="6"/>
        <v>16.872062624068317</v>
      </c>
      <c r="H152" s="7">
        <f>DATA!F152</f>
        <v>0.18734866933531219</v>
      </c>
      <c r="I152" s="7">
        <f t="shared" si="7"/>
        <v>18.734866933531219</v>
      </c>
      <c r="J152" s="7">
        <v>0</v>
      </c>
      <c r="K152" s="7">
        <v>0</v>
      </c>
      <c r="L152" s="7">
        <v>0</v>
      </c>
      <c r="M152" s="7">
        <v>0</v>
      </c>
      <c r="N152" s="7">
        <v>0.18666387412624028</v>
      </c>
      <c r="O152" s="7">
        <v>0.24470651299919594</v>
      </c>
    </row>
    <row r="153" spans="1:15" x14ac:dyDescent="0.35">
      <c r="A153">
        <f t="shared" si="8"/>
        <v>1987.75</v>
      </c>
      <c r="B153" s="7">
        <v>0</v>
      </c>
      <c r="C153" s="7">
        <v>0</v>
      </c>
      <c r="D153" s="7">
        <v>0</v>
      </c>
      <c r="E153" s="7">
        <v>0</v>
      </c>
      <c r="F153" s="7">
        <f>DATA!E153</f>
        <v>0.17025288912528405</v>
      </c>
      <c r="G153" s="7">
        <f t="shared" si="6"/>
        <v>17.025288912528406</v>
      </c>
      <c r="H153" s="7">
        <f>DATA!F153</f>
        <v>0.18786016268031899</v>
      </c>
      <c r="I153" s="7">
        <f t="shared" si="7"/>
        <v>18.786016268031901</v>
      </c>
      <c r="J153" s="7">
        <v>0</v>
      </c>
      <c r="K153" s="7">
        <v>0</v>
      </c>
      <c r="L153" s="7">
        <v>0</v>
      </c>
      <c r="M153" s="7">
        <v>0</v>
      </c>
      <c r="N153" s="7">
        <v>0.18700576501198921</v>
      </c>
      <c r="O153" s="7">
        <v>0.23011889035667105</v>
      </c>
    </row>
    <row r="154" spans="1:15" x14ac:dyDescent="0.35">
      <c r="A154">
        <f t="shared" si="8"/>
        <v>1988</v>
      </c>
      <c r="B154" s="7">
        <v>2.0476068594829793E-2</v>
      </c>
      <c r="C154" s="7">
        <v>1.8977732793522268</v>
      </c>
      <c r="D154" s="7">
        <v>0.26869999999999999</v>
      </c>
      <c r="E154" s="7">
        <v>2.7711999999999999</v>
      </c>
      <c r="F154" s="7">
        <f>DATA!E154</f>
        <v>0.18019069249749523</v>
      </c>
      <c r="G154" s="7">
        <f t="shared" si="6"/>
        <v>18.019069249749524</v>
      </c>
      <c r="H154" s="7">
        <f>DATA!F154</f>
        <v>0.20238362310712282</v>
      </c>
      <c r="I154" s="7">
        <f t="shared" si="7"/>
        <v>20.238362310712283</v>
      </c>
      <c r="J154" s="7">
        <v>2.0476068594829793E-2</v>
      </c>
      <c r="K154" s="7">
        <v>1.8977732793522268</v>
      </c>
      <c r="L154" s="7">
        <v>0.29967997580527844</v>
      </c>
      <c r="M154" s="7">
        <v>2.6805354122767096</v>
      </c>
      <c r="N154" s="7">
        <v>0.1871494391025641</v>
      </c>
      <c r="O154" s="7">
        <v>0.21795202476141343</v>
      </c>
    </row>
    <row r="155" spans="1:15" x14ac:dyDescent="0.35">
      <c r="A155">
        <f t="shared" si="8"/>
        <v>1988.25</v>
      </c>
      <c r="B155" s="7">
        <v>0</v>
      </c>
      <c r="C155" s="7">
        <v>0</v>
      </c>
      <c r="D155" s="7">
        <v>0</v>
      </c>
      <c r="E155" s="7">
        <v>0</v>
      </c>
      <c r="F155" s="7">
        <f>DATA!E155</f>
        <v>0.16625723537612228</v>
      </c>
      <c r="G155" s="7">
        <f t="shared" si="6"/>
        <v>16.625723537612227</v>
      </c>
      <c r="H155" s="7">
        <f>DATA!F155</f>
        <v>0.197890831934013</v>
      </c>
      <c r="I155" s="7">
        <f t="shared" si="7"/>
        <v>19.7890831934013</v>
      </c>
      <c r="J155" s="7">
        <v>0</v>
      </c>
      <c r="K155" s="7">
        <v>0</v>
      </c>
      <c r="L155" s="7">
        <v>0</v>
      </c>
      <c r="M155" s="7">
        <v>0</v>
      </c>
      <c r="N155" s="7">
        <v>0.18493201209766652</v>
      </c>
      <c r="O155" s="7">
        <v>0.22282743253280515</v>
      </c>
    </row>
    <row r="156" spans="1:15" x14ac:dyDescent="0.35">
      <c r="A156">
        <f t="shared" si="8"/>
        <v>1988.5</v>
      </c>
      <c r="B156" s="7">
        <v>0</v>
      </c>
      <c r="C156" s="7">
        <v>0</v>
      </c>
      <c r="D156" s="7">
        <v>0</v>
      </c>
      <c r="E156" s="7">
        <v>0</v>
      </c>
      <c r="F156" s="7">
        <f>DATA!E156</f>
        <v>0.17451733310754078</v>
      </c>
      <c r="G156" s="7">
        <f t="shared" si="6"/>
        <v>17.451733310754079</v>
      </c>
      <c r="H156" s="7">
        <f>DATA!F156</f>
        <v>0.20645555442419306</v>
      </c>
      <c r="I156" s="7">
        <f t="shared" si="7"/>
        <v>20.645555442419305</v>
      </c>
      <c r="J156" s="7">
        <v>0</v>
      </c>
      <c r="K156" s="7">
        <v>0</v>
      </c>
      <c r="L156" s="7">
        <v>0</v>
      </c>
      <c r="M156" s="7">
        <v>0</v>
      </c>
      <c r="N156" s="7">
        <v>0.18292888642552474</v>
      </c>
      <c r="O156" s="7">
        <v>0.23842028278888347</v>
      </c>
    </row>
    <row r="157" spans="1:15" x14ac:dyDescent="0.35">
      <c r="A157">
        <f t="shared" si="8"/>
        <v>1988.75</v>
      </c>
      <c r="B157" s="7">
        <v>0</v>
      </c>
      <c r="C157" s="7">
        <v>0</v>
      </c>
      <c r="D157" s="7">
        <v>0</v>
      </c>
      <c r="E157" s="7">
        <v>0</v>
      </c>
      <c r="F157" s="7">
        <f>DATA!E157</f>
        <v>0.17463020092141562</v>
      </c>
      <c r="G157" s="7">
        <f t="shared" si="6"/>
        <v>17.463020092141562</v>
      </c>
      <c r="H157" s="7">
        <f>DATA!F157</f>
        <v>0.2005951874840575</v>
      </c>
      <c r="I157" s="7">
        <f t="shared" si="7"/>
        <v>20.05951874840575</v>
      </c>
      <c r="J157" s="7">
        <v>0</v>
      </c>
      <c r="K157" s="7">
        <v>0</v>
      </c>
      <c r="L157" s="7">
        <v>0</v>
      </c>
      <c r="M157" s="7">
        <v>0</v>
      </c>
      <c r="N157" s="7">
        <v>0.18246070204467554</v>
      </c>
      <c r="O157" s="7">
        <v>0.23751156336725257</v>
      </c>
    </row>
    <row r="158" spans="1:15" x14ac:dyDescent="0.35">
      <c r="A158">
        <f t="shared" si="8"/>
        <v>1989</v>
      </c>
      <c r="B158" s="7">
        <v>0</v>
      </c>
      <c r="C158" s="7">
        <v>0</v>
      </c>
      <c r="D158" s="7">
        <v>0</v>
      </c>
      <c r="E158" s="7">
        <v>0</v>
      </c>
      <c r="F158" s="7">
        <f>DATA!E158</f>
        <v>0.17260272553292835</v>
      </c>
      <c r="G158" s="7">
        <f t="shared" si="6"/>
        <v>17.260272553292836</v>
      </c>
      <c r="H158" s="7">
        <f>DATA!F158</f>
        <v>0.23805349856430408</v>
      </c>
      <c r="I158" s="7">
        <f t="shared" si="7"/>
        <v>23.805349856430407</v>
      </c>
      <c r="J158" s="7">
        <v>0</v>
      </c>
      <c r="K158" s="7">
        <v>0</v>
      </c>
      <c r="L158" s="7">
        <v>0</v>
      </c>
      <c r="M158" s="7">
        <v>0</v>
      </c>
      <c r="N158" s="7">
        <v>0.18667679837892603</v>
      </c>
      <c r="O158" s="7">
        <v>0.25504497933381964</v>
      </c>
    </row>
    <row r="159" spans="1:15" x14ac:dyDescent="0.35">
      <c r="A159">
        <f t="shared" si="8"/>
        <v>1989.25</v>
      </c>
      <c r="B159" s="7">
        <v>0</v>
      </c>
      <c r="C159" s="7">
        <v>0</v>
      </c>
      <c r="D159" s="7">
        <v>0</v>
      </c>
      <c r="E159" s="7">
        <v>0</v>
      </c>
      <c r="F159" s="7">
        <f>DATA!E159</f>
        <v>0.17230379303139176</v>
      </c>
      <c r="G159" s="7">
        <f t="shared" si="6"/>
        <v>17.230379303139177</v>
      </c>
      <c r="H159" s="7">
        <f>DATA!F159</f>
        <v>0.24268765327711739</v>
      </c>
      <c r="I159" s="7">
        <f t="shared" si="7"/>
        <v>24.268765327711741</v>
      </c>
      <c r="J159" s="7">
        <v>0</v>
      </c>
      <c r="K159" s="7">
        <v>0</v>
      </c>
      <c r="L159" s="7">
        <v>0</v>
      </c>
      <c r="M159" s="7">
        <v>0</v>
      </c>
      <c r="N159" s="7">
        <v>0.1874601148691768</v>
      </c>
      <c r="O159" s="7">
        <v>0.23447590660705417</v>
      </c>
    </row>
    <row r="160" spans="1:15" x14ac:dyDescent="0.35">
      <c r="A160">
        <f t="shared" si="8"/>
        <v>1989.5</v>
      </c>
      <c r="B160" s="7">
        <v>0</v>
      </c>
      <c r="C160" s="7">
        <v>0</v>
      </c>
      <c r="D160" s="7">
        <v>0</v>
      </c>
      <c r="E160" s="7">
        <v>0</v>
      </c>
      <c r="F160" s="7">
        <f>DATA!E160</f>
        <v>0.17335926799523255</v>
      </c>
      <c r="G160" s="7">
        <f t="shared" si="6"/>
        <v>17.335926799523254</v>
      </c>
      <c r="H160" s="7">
        <f>DATA!F160</f>
        <v>0.24688053291931644</v>
      </c>
      <c r="I160" s="7">
        <f t="shared" si="7"/>
        <v>24.688053291931645</v>
      </c>
      <c r="J160" s="7">
        <v>0</v>
      </c>
      <c r="K160" s="7">
        <v>0</v>
      </c>
      <c r="L160" s="7">
        <v>0</v>
      </c>
      <c r="M160" s="7">
        <v>0</v>
      </c>
      <c r="N160" s="7">
        <v>0.18817374047178748</v>
      </c>
      <c r="O160" s="7">
        <v>0.22434484447710015</v>
      </c>
    </row>
    <row r="161" spans="1:15" x14ac:dyDescent="0.35">
      <c r="A161">
        <f t="shared" si="8"/>
        <v>1989.75</v>
      </c>
      <c r="B161" s="7">
        <v>0</v>
      </c>
      <c r="C161" s="7">
        <v>0</v>
      </c>
      <c r="D161" s="7">
        <v>0</v>
      </c>
      <c r="E161" s="7">
        <v>0</v>
      </c>
      <c r="F161" s="7">
        <f>DATA!E161</f>
        <v>0.17608610270789921</v>
      </c>
      <c r="G161" s="7">
        <f t="shared" si="6"/>
        <v>17.608610270789921</v>
      </c>
      <c r="H161" s="7">
        <f>DATA!F161</f>
        <v>0.26364620157275803</v>
      </c>
      <c r="I161" s="7">
        <f t="shared" si="7"/>
        <v>26.364620157275802</v>
      </c>
      <c r="J161" s="7">
        <v>0</v>
      </c>
      <c r="K161" s="7">
        <v>0</v>
      </c>
      <c r="L161" s="7">
        <v>0</v>
      </c>
      <c r="M161" s="7">
        <v>0</v>
      </c>
      <c r="N161" s="7">
        <v>0.18892790470264023</v>
      </c>
      <c r="O161" s="7">
        <v>0.22993710691823901</v>
      </c>
    </row>
    <row r="162" spans="1:15" x14ac:dyDescent="0.35">
      <c r="A162">
        <f t="shared" si="8"/>
        <v>1990</v>
      </c>
      <c r="B162" s="7">
        <v>0</v>
      </c>
      <c r="C162" s="7">
        <v>0</v>
      </c>
      <c r="D162" s="7">
        <v>0</v>
      </c>
      <c r="E162" s="7">
        <v>0</v>
      </c>
      <c r="F162" s="7">
        <f>DATA!E162</f>
        <v>0.17311512040101773</v>
      </c>
      <c r="G162" s="7">
        <f t="shared" si="6"/>
        <v>17.311512040101775</v>
      </c>
      <c r="H162" s="7">
        <f>DATA!F162</f>
        <v>0.26275684753986189</v>
      </c>
      <c r="I162" s="7">
        <f t="shared" si="7"/>
        <v>26.275684753986191</v>
      </c>
      <c r="J162" s="7">
        <v>0</v>
      </c>
      <c r="K162" s="7">
        <v>0</v>
      </c>
      <c r="L162" s="7">
        <v>0</v>
      </c>
      <c r="M162" s="7">
        <v>0</v>
      </c>
      <c r="N162" s="7">
        <v>0.18699718752043956</v>
      </c>
      <c r="O162" s="7">
        <v>0.2242185577159734</v>
      </c>
    </row>
    <row r="163" spans="1:15" x14ac:dyDescent="0.35">
      <c r="A163">
        <f t="shared" si="8"/>
        <v>1990.25</v>
      </c>
      <c r="B163" s="7">
        <v>0</v>
      </c>
      <c r="C163" s="7">
        <v>0</v>
      </c>
      <c r="D163" s="7">
        <v>0</v>
      </c>
      <c r="E163" s="7">
        <v>0</v>
      </c>
      <c r="F163" s="7">
        <f>DATA!E163</f>
        <v>0.18460791128262558</v>
      </c>
      <c r="G163" s="7">
        <f t="shared" si="6"/>
        <v>18.460791128262557</v>
      </c>
      <c r="H163" s="7">
        <f>DATA!F163</f>
        <v>0.26407974411194196</v>
      </c>
      <c r="I163" s="7">
        <f t="shared" si="7"/>
        <v>26.407974411194196</v>
      </c>
      <c r="J163" s="7">
        <v>0</v>
      </c>
      <c r="K163" s="7">
        <v>0</v>
      </c>
      <c r="L163" s="7">
        <v>0</v>
      </c>
      <c r="M163" s="7">
        <v>0</v>
      </c>
      <c r="N163" s="7">
        <v>0.18663836538667697</v>
      </c>
      <c r="O163" s="7">
        <v>0.21987462270722083</v>
      </c>
    </row>
    <row r="164" spans="1:15" x14ac:dyDescent="0.35">
      <c r="A164">
        <f t="shared" si="8"/>
        <v>1990.5</v>
      </c>
      <c r="B164" s="7">
        <v>0</v>
      </c>
      <c r="C164" s="7">
        <v>0</v>
      </c>
      <c r="D164" s="7">
        <v>0</v>
      </c>
      <c r="E164" s="7">
        <v>0</v>
      </c>
      <c r="F164" s="7">
        <f>DATA!E164</f>
        <v>0.17858387492585018</v>
      </c>
      <c r="G164" s="7">
        <f t="shared" si="6"/>
        <v>17.858387492585017</v>
      </c>
      <c r="H164" s="7">
        <f>DATA!F164</f>
        <v>0.26095191299603199</v>
      </c>
      <c r="I164" s="7">
        <f t="shared" si="7"/>
        <v>26.095191299603197</v>
      </c>
      <c r="J164" s="7">
        <v>0</v>
      </c>
      <c r="K164" s="7">
        <v>0</v>
      </c>
      <c r="L164" s="7">
        <v>0</v>
      </c>
      <c r="M164" s="7">
        <v>0</v>
      </c>
      <c r="N164" s="7">
        <v>0.18654045698070854</v>
      </c>
      <c r="O164" s="7">
        <v>0.23998020781791193</v>
      </c>
    </row>
    <row r="165" spans="1:15" x14ac:dyDescent="0.35">
      <c r="A165">
        <f t="shared" si="8"/>
        <v>1990.75</v>
      </c>
      <c r="B165" s="7">
        <v>0</v>
      </c>
      <c r="C165" s="7">
        <v>0</v>
      </c>
      <c r="D165" s="7">
        <v>0</v>
      </c>
      <c r="E165" s="7">
        <v>0</v>
      </c>
      <c r="F165" s="7">
        <f>DATA!E165</f>
        <v>0.17935491705765164</v>
      </c>
      <c r="G165" s="7">
        <f t="shared" si="6"/>
        <v>17.935491705765163</v>
      </c>
      <c r="H165" s="7">
        <f>DATA!F165</f>
        <v>0.24667825338685115</v>
      </c>
      <c r="I165" s="7">
        <f t="shared" si="7"/>
        <v>24.667825338685116</v>
      </c>
      <c r="J165" s="7">
        <v>0</v>
      </c>
      <c r="K165" s="7">
        <v>0</v>
      </c>
      <c r="L165" s="7">
        <v>0</v>
      </c>
      <c r="M165" s="7">
        <v>0</v>
      </c>
      <c r="N165" s="7">
        <v>0.1859477055105794</v>
      </c>
      <c r="O165" s="7">
        <v>0.2330808697776692</v>
      </c>
    </row>
    <row r="166" spans="1:15" x14ac:dyDescent="0.35">
      <c r="A166">
        <f t="shared" si="8"/>
        <v>1991</v>
      </c>
      <c r="B166" s="7">
        <v>0.29668559803339833</v>
      </c>
      <c r="C166" s="7">
        <v>0.2319109461966605</v>
      </c>
      <c r="D166" s="7">
        <v>0.54490000000000005</v>
      </c>
      <c r="E166" s="7">
        <v>1.1052999999999999</v>
      </c>
      <c r="F166" s="7">
        <f>DATA!E166</f>
        <v>0.17923130410454891</v>
      </c>
      <c r="G166" s="7">
        <f t="shared" si="6"/>
        <v>17.923130410454892</v>
      </c>
      <c r="H166" s="7">
        <f>DATA!F166</f>
        <v>0.23337382326146369</v>
      </c>
      <c r="I166" s="7">
        <f t="shared" si="7"/>
        <v>23.337382326146368</v>
      </c>
      <c r="J166" s="7">
        <v>0.29668559803339833</v>
      </c>
      <c r="K166" s="7">
        <v>0.2319109461966605</v>
      </c>
      <c r="L166" s="7">
        <v>0.57588950524384697</v>
      </c>
      <c r="M166" s="7">
        <v>1.0146730791211431</v>
      </c>
      <c r="N166" s="7">
        <v>0.18427886747038827</v>
      </c>
      <c r="O166" s="7">
        <v>0.20748299319727892</v>
      </c>
    </row>
    <row r="167" spans="1:15" x14ac:dyDescent="0.35">
      <c r="A167">
        <f t="shared" si="8"/>
        <v>1991.25</v>
      </c>
      <c r="B167" s="7">
        <v>0</v>
      </c>
      <c r="C167" s="7">
        <v>0</v>
      </c>
      <c r="D167" s="7">
        <v>0</v>
      </c>
      <c r="E167" s="7">
        <v>0</v>
      </c>
      <c r="F167" s="7">
        <f>DATA!E167</f>
        <v>0.17724585795763539</v>
      </c>
      <c r="G167" s="7">
        <f t="shared" si="6"/>
        <v>17.724585795763538</v>
      </c>
      <c r="H167" s="7">
        <f>DATA!F167</f>
        <v>0.23378100165896035</v>
      </c>
      <c r="I167" s="7">
        <f t="shared" si="7"/>
        <v>23.378100165896036</v>
      </c>
      <c r="J167" s="7">
        <v>0</v>
      </c>
      <c r="K167" s="7">
        <v>0</v>
      </c>
      <c r="L167" s="7">
        <v>0</v>
      </c>
      <c r="M167" s="7">
        <v>0</v>
      </c>
      <c r="N167" s="7">
        <v>0.18346609797403246</v>
      </c>
      <c r="O167" s="7">
        <v>0.20110319466789242</v>
      </c>
    </row>
    <row r="168" spans="1:15" x14ac:dyDescent="0.35">
      <c r="A168">
        <f t="shared" si="8"/>
        <v>1991.5</v>
      </c>
      <c r="B168" s="7">
        <v>0</v>
      </c>
      <c r="C168" s="7">
        <v>0</v>
      </c>
      <c r="D168" s="7">
        <v>0</v>
      </c>
      <c r="E168" s="7">
        <v>0</v>
      </c>
      <c r="F168" s="7">
        <f>DATA!E168</f>
        <v>0.17532869333751244</v>
      </c>
      <c r="G168" s="7">
        <f t="shared" si="6"/>
        <v>17.532869333751243</v>
      </c>
      <c r="H168" s="7">
        <f>DATA!F168</f>
        <v>0.24826680752294419</v>
      </c>
      <c r="I168" s="7">
        <f t="shared" si="7"/>
        <v>24.826680752294418</v>
      </c>
      <c r="J168" s="7">
        <v>0</v>
      </c>
      <c r="K168" s="7">
        <v>0</v>
      </c>
      <c r="L168" s="7">
        <v>0</v>
      </c>
      <c r="M168" s="7">
        <v>0</v>
      </c>
      <c r="N168" s="7">
        <v>0.18338031672332308</v>
      </c>
      <c r="O168" s="7">
        <v>0.20388349514563109</v>
      </c>
    </row>
    <row r="169" spans="1:15" x14ac:dyDescent="0.35">
      <c r="A169">
        <f t="shared" si="8"/>
        <v>1991.75</v>
      </c>
      <c r="B169" s="7">
        <v>0</v>
      </c>
      <c r="C169" s="7">
        <v>0</v>
      </c>
      <c r="D169" s="7">
        <v>0</v>
      </c>
      <c r="E169" s="7">
        <v>0</v>
      </c>
      <c r="F169" s="7">
        <f>DATA!E169</f>
        <v>0.17520050862382577</v>
      </c>
      <c r="G169" s="7">
        <f t="shared" si="6"/>
        <v>17.520050862382579</v>
      </c>
      <c r="H169" s="7">
        <f>DATA!F169</f>
        <v>0.24913701298543778</v>
      </c>
      <c r="I169" s="7">
        <f t="shared" si="7"/>
        <v>24.913701298543778</v>
      </c>
      <c r="J169" s="7">
        <v>0</v>
      </c>
      <c r="K169" s="7">
        <v>0</v>
      </c>
      <c r="L169" s="7">
        <v>0</v>
      </c>
      <c r="M169" s="7">
        <v>0</v>
      </c>
      <c r="N169" s="7">
        <v>0.18323446704571111</v>
      </c>
      <c r="O169" s="7">
        <v>0.20457142857142857</v>
      </c>
    </row>
    <row r="170" spans="1:15" x14ac:dyDescent="0.35">
      <c r="A170">
        <f t="shared" si="8"/>
        <v>1992</v>
      </c>
      <c r="B170" s="7">
        <v>0</v>
      </c>
      <c r="C170" s="7">
        <v>0</v>
      </c>
      <c r="D170" s="7">
        <v>0</v>
      </c>
      <c r="E170" s="7">
        <v>0</v>
      </c>
      <c r="F170" s="7">
        <f>DATA!E170</f>
        <v>0.17825427485303813</v>
      </c>
      <c r="G170" s="7">
        <f t="shared" si="6"/>
        <v>17.825427485303813</v>
      </c>
      <c r="H170" s="7">
        <f>DATA!F170</f>
        <v>0.25441094428408567</v>
      </c>
      <c r="I170" s="7">
        <f t="shared" si="7"/>
        <v>25.441094428408569</v>
      </c>
      <c r="J170" s="7">
        <v>0</v>
      </c>
      <c r="K170" s="7">
        <v>0</v>
      </c>
      <c r="L170" s="7">
        <v>0</v>
      </c>
      <c r="M170" s="7">
        <v>0</v>
      </c>
      <c r="N170" s="7">
        <v>0.18124709637021028</v>
      </c>
      <c r="O170" s="7">
        <v>0.21153030945315809</v>
      </c>
    </row>
    <row r="171" spans="1:15" x14ac:dyDescent="0.35">
      <c r="A171">
        <f t="shared" si="8"/>
        <v>1992.25</v>
      </c>
      <c r="B171" s="7">
        <v>0</v>
      </c>
      <c r="C171" s="7">
        <v>0</v>
      </c>
      <c r="D171" s="7">
        <v>0</v>
      </c>
      <c r="E171" s="7">
        <v>0</v>
      </c>
      <c r="F171" s="7">
        <f>DATA!E171</f>
        <v>0.17901052321717995</v>
      </c>
      <c r="G171" s="7">
        <f t="shared" si="6"/>
        <v>17.901052321717994</v>
      </c>
      <c r="H171" s="7">
        <f>DATA!F171</f>
        <v>0.2411531881208345</v>
      </c>
      <c r="I171" s="7">
        <f t="shared" si="7"/>
        <v>24.115318812083451</v>
      </c>
      <c r="J171" s="7">
        <v>0</v>
      </c>
      <c r="K171" s="7">
        <v>0</v>
      </c>
      <c r="L171" s="7">
        <v>0</v>
      </c>
      <c r="M171" s="7">
        <v>0</v>
      </c>
      <c r="N171" s="7">
        <v>0.18133673124016961</v>
      </c>
      <c r="O171" s="7">
        <v>0.212588578574406</v>
      </c>
    </row>
    <row r="172" spans="1:15" x14ac:dyDescent="0.35">
      <c r="A172">
        <f t="shared" si="8"/>
        <v>1992.5</v>
      </c>
      <c r="B172" s="7">
        <v>0</v>
      </c>
      <c r="C172" s="7">
        <v>0</v>
      </c>
      <c r="D172" s="7">
        <v>0</v>
      </c>
      <c r="E172" s="7">
        <v>0</v>
      </c>
      <c r="F172" s="7">
        <f>DATA!E172</f>
        <v>0.17967874381897653</v>
      </c>
      <c r="G172" s="7">
        <f t="shared" si="6"/>
        <v>17.967874381897651</v>
      </c>
      <c r="H172" s="7">
        <f>DATA!F172</f>
        <v>0.24301101519731028</v>
      </c>
      <c r="I172" s="7">
        <f t="shared" si="7"/>
        <v>24.301101519731027</v>
      </c>
      <c r="J172" s="7">
        <v>0</v>
      </c>
      <c r="K172" s="7">
        <v>0</v>
      </c>
      <c r="L172" s="7">
        <v>0</v>
      </c>
      <c r="M172" s="7">
        <v>0</v>
      </c>
      <c r="N172" s="7">
        <v>0.18191485171911306</v>
      </c>
      <c r="O172" s="7">
        <v>0.21374540739139833</v>
      </c>
    </row>
    <row r="173" spans="1:15" x14ac:dyDescent="0.35">
      <c r="A173">
        <f t="shared" si="8"/>
        <v>1992.75</v>
      </c>
      <c r="B173" s="7">
        <v>0</v>
      </c>
      <c r="C173" s="7">
        <v>0</v>
      </c>
      <c r="D173" s="7">
        <v>0</v>
      </c>
      <c r="E173" s="7">
        <v>0</v>
      </c>
      <c r="F173" s="7">
        <f>DATA!E173</f>
        <v>0.18020229237595098</v>
      </c>
      <c r="G173" s="7">
        <f t="shared" si="6"/>
        <v>18.020229237595096</v>
      </c>
      <c r="H173" s="7">
        <f>DATA!F173</f>
        <v>0.24243284548358679</v>
      </c>
      <c r="I173" s="7">
        <f t="shared" si="7"/>
        <v>24.24328454835868</v>
      </c>
      <c r="J173" s="7">
        <v>0</v>
      </c>
      <c r="K173" s="7">
        <v>0</v>
      </c>
      <c r="L173" s="7">
        <v>0</v>
      </c>
      <c r="M173" s="7">
        <v>0</v>
      </c>
      <c r="N173" s="7">
        <v>0.18187592631801822</v>
      </c>
      <c r="O173" s="7">
        <v>0.21547738693467336</v>
      </c>
    </row>
    <row r="174" spans="1:15" x14ac:dyDescent="0.35">
      <c r="A174">
        <f t="shared" si="8"/>
        <v>1993</v>
      </c>
      <c r="B174" s="7">
        <v>0</v>
      </c>
      <c r="C174" s="7">
        <v>0</v>
      </c>
      <c r="D174" s="7">
        <v>0</v>
      </c>
      <c r="E174" s="7">
        <v>0</v>
      </c>
      <c r="F174" s="7">
        <f>DATA!E174</f>
        <v>0.17748550954260769</v>
      </c>
      <c r="G174" s="7">
        <f t="shared" si="6"/>
        <v>17.748550954260768</v>
      </c>
      <c r="H174" s="7">
        <f>DATA!F174</f>
        <v>0.23611143526190087</v>
      </c>
      <c r="I174" s="7">
        <f t="shared" si="7"/>
        <v>23.611143526190087</v>
      </c>
      <c r="J174" s="7">
        <v>0</v>
      </c>
      <c r="K174" s="7">
        <v>0</v>
      </c>
      <c r="L174" s="7">
        <v>0</v>
      </c>
      <c r="M174" s="7">
        <v>0</v>
      </c>
      <c r="N174" s="7">
        <v>0.18268779342723007</v>
      </c>
      <c r="O174" s="7">
        <v>0.22648791387365427</v>
      </c>
    </row>
    <row r="175" spans="1:15" x14ac:dyDescent="0.35">
      <c r="A175">
        <f t="shared" si="8"/>
        <v>1993.25</v>
      </c>
      <c r="B175" s="7">
        <v>0</v>
      </c>
      <c r="C175" s="7">
        <v>0</v>
      </c>
      <c r="D175" s="7">
        <v>0</v>
      </c>
      <c r="E175" s="7">
        <v>0</v>
      </c>
      <c r="F175" s="7">
        <f>DATA!E175</f>
        <v>0.1773815508735791</v>
      </c>
      <c r="G175" s="7">
        <f t="shared" si="6"/>
        <v>17.73815508735791</v>
      </c>
      <c r="H175" s="7">
        <f>DATA!F175</f>
        <v>0.23430171110049527</v>
      </c>
      <c r="I175" s="7">
        <f t="shared" si="7"/>
        <v>23.430171110049528</v>
      </c>
      <c r="J175" s="7">
        <v>0</v>
      </c>
      <c r="K175" s="7">
        <v>0</v>
      </c>
      <c r="L175" s="7">
        <v>0</v>
      </c>
      <c r="M175" s="7">
        <v>0</v>
      </c>
      <c r="N175" s="7">
        <v>0.18434752760350123</v>
      </c>
      <c r="O175" s="7">
        <v>0.23578336557059962</v>
      </c>
    </row>
    <row r="176" spans="1:15" x14ac:dyDescent="0.35">
      <c r="A176">
        <f t="shared" si="8"/>
        <v>1993.5</v>
      </c>
      <c r="B176" s="7">
        <v>0.43498998378326814</v>
      </c>
      <c r="C176" s="7">
        <v>0</v>
      </c>
      <c r="D176" s="7">
        <v>0.68320000000000003</v>
      </c>
      <c r="E176" s="7">
        <v>0</v>
      </c>
      <c r="F176" s="7">
        <f>DATA!E176</f>
        <v>0.17774744162211537</v>
      </c>
      <c r="G176" s="7">
        <f t="shared" si="6"/>
        <v>17.774744162211537</v>
      </c>
      <c r="H176" s="7">
        <f>DATA!F176</f>
        <v>0.23457017121539461</v>
      </c>
      <c r="I176" s="7">
        <f t="shared" si="7"/>
        <v>23.457017121539462</v>
      </c>
      <c r="J176" s="7">
        <v>0.43498998378326814</v>
      </c>
      <c r="K176" s="7">
        <v>0</v>
      </c>
      <c r="L176" s="7">
        <v>0.71419389099371677</v>
      </c>
      <c r="M176" s="7">
        <v>0</v>
      </c>
      <c r="N176" s="7">
        <v>0.18599230638039832</v>
      </c>
      <c r="O176" s="7">
        <v>0.21924829157175402</v>
      </c>
    </row>
    <row r="177" spans="1:15" x14ac:dyDescent="0.35">
      <c r="A177">
        <f t="shared" si="8"/>
        <v>1993.75</v>
      </c>
      <c r="B177" s="7">
        <v>0</v>
      </c>
      <c r="C177" s="7">
        <v>0</v>
      </c>
      <c r="D177" s="7">
        <v>0</v>
      </c>
      <c r="E177" s="7">
        <v>0</v>
      </c>
      <c r="F177" s="7">
        <f>DATA!E177</f>
        <v>0.17737182850315875</v>
      </c>
      <c r="G177" s="7">
        <f t="shared" si="6"/>
        <v>17.737182850315875</v>
      </c>
      <c r="H177" s="7">
        <f>DATA!F177</f>
        <v>0.23081595415672476</v>
      </c>
      <c r="I177" s="7">
        <f t="shared" si="7"/>
        <v>23.081595415672478</v>
      </c>
      <c r="J177" s="7">
        <v>0</v>
      </c>
      <c r="K177" s="7">
        <v>0</v>
      </c>
      <c r="L177" s="7">
        <v>0</v>
      </c>
      <c r="M177" s="7">
        <v>0</v>
      </c>
      <c r="N177" s="7">
        <v>0.18570422274125978</v>
      </c>
      <c r="O177" s="7">
        <v>0.24658971668415533</v>
      </c>
    </row>
    <row r="178" spans="1:15" x14ac:dyDescent="0.35">
      <c r="A178">
        <f t="shared" si="8"/>
        <v>1994</v>
      </c>
      <c r="B178" s="7">
        <v>0</v>
      </c>
      <c r="C178" s="7">
        <v>0</v>
      </c>
      <c r="D178" s="7">
        <v>0</v>
      </c>
      <c r="E178" s="7">
        <v>0</v>
      </c>
      <c r="F178" s="7">
        <f>DATA!E178</f>
        <v>0.17417761599625997</v>
      </c>
      <c r="G178" s="7">
        <f t="shared" si="6"/>
        <v>17.417761599625997</v>
      </c>
      <c r="H178" s="7">
        <f>DATA!F178</f>
        <v>0.21607509741409847</v>
      </c>
      <c r="I178" s="7">
        <f t="shared" si="7"/>
        <v>21.607509741409846</v>
      </c>
      <c r="J178" s="7">
        <v>0</v>
      </c>
      <c r="K178" s="7">
        <v>0</v>
      </c>
      <c r="L178" s="7">
        <v>0</v>
      </c>
      <c r="M178" s="7">
        <v>0</v>
      </c>
      <c r="N178" s="7">
        <v>0.18745477820448603</v>
      </c>
      <c r="O178" s="7">
        <v>0.21331474381317536</v>
      </c>
    </row>
    <row r="179" spans="1:15" x14ac:dyDescent="0.35">
      <c r="A179">
        <f t="shared" si="8"/>
        <v>1994.25</v>
      </c>
      <c r="B179" s="7">
        <v>0</v>
      </c>
      <c r="C179" s="7">
        <v>0</v>
      </c>
      <c r="D179" s="7">
        <v>0</v>
      </c>
      <c r="E179" s="7">
        <v>0</v>
      </c>
      <c r="F179" s="7">
        <f>DATA!E179</f>
        <v>0.17365921567742904</v>
      </c>
      <c r="G179" s="7">
        <f t="shared" si="6"/>
        <v>17.365921567742902</v>
      </c>
      <c r="H179" s="7">
        <f>DATA!F179</f>
        <v>0.20558750872607526</v>
      </c>
      <c r="I179" s="7">
        <f t="shared" si="7"/>
        <v>20.558750872607526</v>
      </c>
      <c r="J179" s="7">
        <v>0</v>
      </c>
      <c r="K179" s="7">
        <v>0</v>
      </c>
      <c r="L179" s="7">
        <v>0</v>
      </c>
      <c r="M179" s="7">
        <v>0</v>
      </c>
      <c r="N179" s="7">
        <v>0.18941201996094595</v>
      </c>
      <c r="O179" s="7">
        <v>0.21826468602295748</v>
      </c>
    </row>
    <row r="180" spans="1:15" x14ac:dyDescent="0.35">
      <c r="A180">
        <f t="shared" si="8"/>
        <v>1994.5</v>
      </c>
      <c r="B180" s="7">
        <v>0</v>
      </c>
      <c r="C180" s="7">
        <v>0</v>
      </c>
      <c r="D180" s="7">
        <v>0</v>
      </c>
      <c r="E180" s="7">
        <v>0</v>
      </c>
      <c r="F180" s="7">
        <f>DATA!E180</f>
        <v>0.17344475801864356</v>
      </c>
      <c r="G180" s="7">
        <f t="shared" si="6"/>
        <v>17.344475801864355</v>
      </c>
      <c r="H180" s="7">
        <f>DATA!F180</f>
        <v>0.2042216004373083</v>
      </c>
      <c r="I180" s="7">
        <f t="shared" si="7"/>
        <v>20.42216004373083</v>
      </c>
      <c r="J180" s="7">
        <v>0</v>
      </c>
      <c r="K180" s="7">
        <v>0</v>
      </c>
      <c r="L180" s="7">
        <v>0</v>
      </c>
      <c r="M180" s="7">
        <v>0</v>
      </c>
      <c r="N180" s="7">
        <v>0.18545986130176673</v>
      </c>
      <c r="O180" s="7">
        <v>0.2281320089714835</v>
      </c>
    </row>
    <row r="181" spans="1:15" x14ac:dyDescent="0.35">
      <c r="A181">
        <f t="shared" si="8"/>
        <v>1994.75</v>
      </c>
      <c r="B181" s="7">
        <v>0</v>
      </c>
      <c r="C181" s="7">
        <v>0</v>
      </c>
      <c r="D181" s="7">
        <v>0</v>
      </c>
      <c r="E181" s="7">
        <v>0</v>
      </c>
      <c r="F181" s="7">
        <f>DATA!E181</f>
        <v>0.17268566439337724</v>
      </c>
      <c r="G181" s="7">
        <f t="shared" si="6"/>
        <v>17.268566439337725</v>
      </c>
      <c r="H181" s="7">
        <f>DATA!F181</f>
        <v>0.20497986890742445</v>
      </c>
      <c r="I181" s="7">
        <f t="shared" si="7"/>
        <v>20.497986890742446</v>
      </c>
      <c r="J181" s="7">
        <v>0</v>
      </c>
      <c r="K181" s="7">
        <v>0</v>
      </c>
      <c r="L181" s="7">
        <v>0</v>
      </c>
      <c r="M181" s="7">
        <v>0</v>
      </c>
      <c r="N181" s="7">
        <v>0.18531836519908784</v>
      </c>
      <c r="O181" s="7">
        <v>0.2327267119062307</v>
      </c>
    </row>
    <row r="182" spans="1:15" x14ac:dyDescent="0.35">
      <c r="A182">
        <f t="shared" si="8"/>
        <v>1995</v>
      </c>
      <c r="B182" s="7">
        <v>0</v>
      </c>
      <c r="C182" s="7">
        <v>0</v>
      </c>
      <c r="D182" s="7">
        <v>0</v>
      </c>
      <c r="E182" s="7">
        <v>0</v>
      </c>
      <c r="F182" s="7">
        <f>DATA!E182</f>
        <v>0.16971326340776893</v>
      </c>
      <c r="G182" s="7">
        <f t="shared" si="6"/>
        <v>16.971326340776894</v>
      </c>
      <c r="H182" s="7">
        <f>DATA!F182</f>
        <v>0.21745599836171645</v>
      </c>
      <c r="I182" s="7">
        <f t="shared" si="7"/>
        <v>21.745599836171646</v>
      </c>
      <c r="J182" s="7">
        <v>0</v>
      </c>
      <c r="K182" s="7">
        <v>0</v>
      </c>
      <c r="L182" s="7">
        <v>0</v>
      </c>
      <c r="M182" s="7">
        <v>0</v>
      </c>
      <c r="N182" s="7">
        <v>0.1868173780382095</v>
      </c>
      <c r="O182" s="7">
        <v>0.23804414469650523</v>
      </c>
    </row>
    <row r="183" spans="1:15" x14ac:dyDescent="0.35">
      <c r="A183">
        <f t="shared" si="8"/>
        <v>1995.25</v>
      </c>
      <c r="B183" s="7">
        <v>0</v>
      </c>
      <c r="C183" s="7">
        <v>0</v>
      </c>
      <c r="D183" s="7">
        <v>0</v>
      </c>
      <c r="E183" s="7">
        <v>0</v>
      </c>
      <c r="F183" s="7">
        <f>DATA!E183</f>
        <v>0.16929399736948697</v>
      </c>
      <c r="G183" s="7">
        <f t="shared" si="6"/>
        <v>16.929399736948696</v>
      </c>
      <c r="H183" s="7">
        <f>DATA!F183</f>
        <v>0.2156434216338807</v>
      </c>
      <c r="I183" s="7">
        <f t="shared" si="7"/>
        <v>21.564342163388069</v>
      </c>
      <c r="J183" s="7">
        <v>0</v>
      </c>
      <c r="K183" s="7">
        <v>0</v>
      </c>
      <c r="L183" s="7">
        <v>0</v>
      </c>
      <c r="M183" s="7">
        <v>0</v>
      </c>
      <c r="N183" s="7">
        <v>0.19057274929974394</v>
      </c>
      <c r="O183" s="7">
        <v>0.22554507955215083</v>
      </c>
    </row>
    <row r="184" spans="1:15" x14ac:dyDescent="0.35">
      <c r="A184">
        <f t="shared" si="8"/>
        <v>1995.5</v>
      </c>
      <c r="B184" s="7">
        <v>0</v>
      </c>
      <c r="C184" s="7">
        <v>0</v>
      </c>
      <c r="D184" s="7">
        <v>0</v>
      </c>
      <c r="E184" s="7">
        <v>0</v>
      </c>
      <c r="F184" s="7">
        <f>DATA!E184</f>
        <v>0.16956815935862435</v>
      </c>
      <c r="G184" s="7">
        <f t="shared" si="6"/>
        <v>16.956815935862434</v>
      </c>
      <c r="H184" s="7">
        <f>DATA!F184</f>
        <v>0.21932049468554479</v>
      </c>
      <c r="I184" s="7">
        <f t="shared" si="7"/>
        <v>21.932049468554478</v>
      </c>
      <c r="J184" s="7">
        <v>0</v>
      </c>
      <c r="K184" s="7">
        <v>0</v>
      </c>
      <c r="L184" s="7">
        <v>0</v>
      </c>
      <c r="M184" s="7">
        <v>0</v>
      </c>
      <c r="N184" s="7">
        <v>0.18876511343567448</v>
      </c>
      <c r="O184" s="7">
        <v>0.22267319804058783</v>
      </c>
    </row>
    <row r="185" spans="1:15" x14ac:dyDescent="0.35">
      <c r="A185">
        <f t="shared" si="8"/>
        <v>1995.75</v>
      </c>
      <c r="B185" s="7">
        <v>0</v>
      </c>
      <c r="C185" s="7">
        <v>0</v>
      </c>
      <c r="D185" s="7">
        <v>0</v>
      </c>
      <c r="E185" s="7">
        <v>0</v>
      </c>
      <c r="F185" s="7">
        <f>DATA!E185</f>
        <v>0.16978199787822637</v>
      </c>
      <c r="G185" s="7">
        <f t="shared" si="6"/>
        <v>16.978199787822636</v>
      </c>
      <c r="H185" s="7">
        <f>DATA!F185</f>
        <v>0.22954705056179775</v>
      </c>
      <c r="I185" s="7">
        <f t="shared" si="7"/>
        <v>22.954705056179776</v>
      </c>
      <c r="J185" s="7">
        <v>0</v>
      </c>
      <c r="K185" s="7">
        <v>0</v>
      </c>
      <c r="L185" s="7">
        <v>0</v>
      </c>
      <c r="M185" s="7">
        <v>0</v>
      </c>
      <c r="N185" s="7">
        <v>0.18958504209839139</v>
      </c>
      <c r="O185" s="7">
        <v>0.21479647964796478</v>
      </c>
    </row>
    <row r="186" spans="1:15" x14ac:dyDescent="0.35">
      <c r="A186">
        <f t="shared" si="8"/>
        <v>1996</v>
      </c>
      <c r="B186" s="7">
        <v>0</v>
      </c>
      <c r="C186" s="7">
        <v>0</v>
      </c>
      <c r="D186" s="7">
        <v>0</v>
      </c>
      <c r="E186" s="7">
        <v>0</v>
      </c>
      <c r="F186" s="7">
        <f>DATA!E186</f>
        <v>0.16909984748298368</v>
      </c>
      <c r="G186" s="7">
        <f t="shared" si="6"/>
        <v>16.909984748298367</v>
      </c>
      <c r="H186" s="7">
        <f>DATA!F186</f>
        <v>0.23696365289663551</v>
      </c>
      <c r="I186" s="7">
        <f t="shared" si="7"/>
        <v>23.69636528966355</v>
      </c>
      <c r="J186" s="7">
        <v>0</v>
      </c>
      <c r="K186" s="7">
        <v>0</v>
      </c>
      <c r="L186" s="7">
        <v>0</v>
      </c>
      <c r="M186" s="7">
        <v>0</v>
      </c>
      <c r="N186" s="7">
        <v>0.19187578212474476</v>
      </c>
      <c r="O186" s="7">
        <v>0.21343146274149033</v>
      </c>
    </row>
    <row r="187" spans="1:15" x14ac:dyDescent="0.35">
      <c r="A187">
        <f t="shared" si="8"/>
        <v>1996.25</v>
      </c>
      <c r="B187" s="7">
        <v>0</v>
      </c>
      <c r="C187" s="7">
        <v>0</v>
      </c>
      <c r="D187" s="7">
        <v>0</v>
      </c>
      <c r="E187" s="7">
        <v>0</v>
      </c>
      <c r="F187" s="7">
        <f>DATA!E187</f>
        <v>0.1713024597481006</v>
      </c>
      <c r="G187" s="7">
        <f t="shared" si="6"/>
        <v>17.130245974810059</v>
      </c>
      <c r="H187" s="7">
        <f>DATA!F187</f>
        <v>0.24510355808782436</v>
      </c>
      <c r="I187" s="7">
        <f t="shared" si="7"/>
        <v>24.510355808782435</v>
      </c>
      <c r="J187" s="7">
        <v>0</v>
      </c>
      <c r="K187" s="7">
        <v>0</v>
      </c>
      <c r="L187" s="7">
        <v>0</v>
      </c>
      <c r="M187" s="7">
        <v>0</v>
      </c>
      <c r="N187" s="7">
        <v>0.19536242173884982</v>
      </c>
      <c r="O187" s="7">
        <v>0.2222653219550039</v>
      </c>
    </row>
    <row r="188" spans="1:15" x14ac:dyDescent="0.35">
      <c r="A188">
        <f t="shared" si="8"/>
        <v>1996.5</v>
      </c>
      <c r="B188" s="7">
        <v>0</v>
      </c>
      <c r="C188" s="7">
        <v>0</v>
      </c>
      <c r="D188" s="7">
        <v>0</v>
      </c>
      <c r="E188" s="7">
        <v>0</v>
      </c>
      <c r="F188" s="7">
        <f>DATA!E188</f>
        <v>0.17263811061178086</v>
      </c>
      <c r="G188" s="7">
        <f t="shared" si="6"/>
        <v>17.263811061178085</v>
      </c>
      <c r="H188" s="7">
        <f>DATA!F188</f>
        <v>0.22985178622975622</v>
      </c>
      <c r="I188" s="7">
        <f t="shared" si="7"/>
        <v>22.985178622975621</v>
      </c>
      <c r="J188" s="7">
        <v>0</v>
      </c>
      <c r="K188" s="7">
        <v>0</v>
      </c>
      <c r="L188" s="7">
        <v>0</v>
      </c>
      <c r="M188" s="7">
        <v>0</v>
      </c>
      <c r="N188" s="7">
        <v>0.19375616272782215</v>
      </c>
      <c r="O188" s="7">
        <v>0.22139558748075935</v>
      </c>
    </row>
    <row r="189" spans="1:15" x14ac:dyDescent="0.35">
      <c r="A189">
        <f t="shared" si="8"/>
        <v>1996.75</v>
      </c>
      <c r="B189" s="7">
        <v>0</v>
      </c>
      <c r="C189" s="7">
        <v>0</v>
      </c>
      <c r="D189" s="7">
        <v>0</v>
      </c>
      <c r="E189" s="7">
        <v>0</v>
      </c>
      <c r="F189" s="7">
        <f>DATA!E189</f>
        <v>0.17333814314850571</v>
      </c>
      <c r="G189" s="7">
        <f t="shared" si="6"/>
        <v>17.333814314850571</v>
      </c>
      <c r="H189" s="7">
        <f>DATA!F189</f>
        <v>0.25483350410298949</v>
      </c>
      <c r="I189" s="7">
        <f t="shared" si="7"/>
        <v>25.48335041029895</v>
      </c>
      <c r="J189" s="7">
        <v>0</v>
      </c>
      <c r="K189" s="7">
        <v>0</v>
      </c>
      <c r="L189" s="7">
        <v>0</v>
      </c>
      <c r="M189" s="7">
        <v>0</v>
      </c>
      <c r="N189" s="7">
        <v>0.1943087139008958</v>
      </c>
      <c r="O189" s="7">
        <v>0.21857855361596013</v>
      </c>
    </row>
    <row r="190" spans="1:15" x14ac:dyDescent="0.35">
      <c r="A190">
        <f t="shared" si="8"/>
        <v>1997</v>
      </c>
      <c r="B190" s="7">
        <v>0</v>
      </c>
      <c r="C190" s="7">
        <v>0</v>
      </c>
      <c r="D190" s="7">
        <v>0</v>
      </c>
      <c r="E190" s="7">
        <v>0</v>
      </c>
      <c r="F190" s="7">
        <f>DATA!E190</f>
        <v>0.1739380692104853</v>
      </c>
      <c r="G190" s="7">
        <f t="shared" si="6"/>
        <v>17.39380692104853</v>
      </c>
      <c r="H190" s="7">
        <f>DATA!F190</f>
        <v>0.21814535179126965</v>
      </c>
      <c r="I190" s="7">
        <f t="shared" si="7"/>
        <v>21.814535179126963</v>
      </c>
      <c r="J190" s="7">
        <v>0</v>
      </c>
      <c r="K190" s="7">
        <v>0</v>
      </c>
      <c r="L190" s="7">
        <v>0</v>
      </c>
      <c r="M190" s="7">
        <v>0</v>
      </c>
      <c r="N190" s="7">
        <v>0.1978916589719914</v>
      </c>
      <c r="O190" s="7">
        <v>0.21254355400696864</v>
      </c>
    </row>
    <row r="191" spans="1:15" x14ac:dyDescent="0.35">
      <c r="A191">
        <f t="shared" si="8"/>
        <v>1997.25</v>
      </c>
      <c r="B191" s="7">
        <v>0</v>
      </c>
      <c r="C191" s="7">
        <v>0</v>
      </c>
      <c r="D191" s="7">
        <v>0</v>
      </c>
      <c r="E191" s="7">
        <v>0</v>
      </c>
      <c r="F191" s="7">
        <f>DATA!E191</f>
        <v>0.17698214485343453</v>
      </c>
      <c r="G191" s="7">
        <f t="shared" si="6"/>
        <v>17.698214485343453</v>
      </c>
      <c r="H191" s="7">
        <f>DATA!F191</f>
        <v>0.22196869806474653</v>
      </c>
      <c r="I191" s="7">
        <f t="shared" si="7"/>
        <v>22.196869806474652</v>
      </c>
      <c r="J191" s="7">
        <v>0</v>
      </c>
      <c r="K191" s="7">
        <v>0</v>
      </c>
      <c r="L191" s="7">
        <v>0</v>
      </c>
      <c r="M191" s="7">
        <v>0</v>
      </c>
      <c r="N191" s="7">
        <v>0.19879618792844009</v>
      </c>
      <c r="O191" s="7">
        <v>0.21118521118521119</v>
      </c>
    </row>
    <row r="192" spans="1:15" x14ac:dyDescent="0.35">
      <c r="A192">
        <f t="shared" si="8"/>
        <v>1997.5</v>
      </c>
      <c r="B192" s="7">
        <v>0</v>
      </c>
      <c r="C192" s="7">
        <v>0</v>
      </c>
      <c r="D192" s="7">
        <v>0</v>
      </c>
      <c r="E192" s="7">
        <v>0</v>
      </c>
      <c r="F192" s="7">
        <f>DATA!E192</f>
        <v>0.17407980398680378</v>
      </c>
      <c r="G192" s="7">
        <f t="shared" si="6"/>
        <v>17.40798039868038</v>
      </c>
      <c r="H192" s="7">
        <f>DATA!F192</f>
        <v>0.22973114663130778</v>
      </c>
      <c r="I192" s="7">
        <f t="shared" si="7"/>
        <v>22.973114663130779</v>
      </c>
      <c r="J192" s="7">
        <v>0</v>
      </c>
      <c r="K192" s="7">
        <v>0</v>
      </c>
      <c r="L192" s="7">
        <v>0</v>
      </c>
      <c r="M192" s="7">
        <v>0</v>
      </c>
      <c r="N192" s="7">
        <v>0.19932760552857676</v>
      </c>
      <c r="O192" s="7">
        <v>0.21467207572684247</v>
      </c>
    </row>
    <row r="193" spans="1:15" x14ac:dyDescent="0.35">
      <c r="A193">
        <f t="shared" si="8"/>
        <v>1997.75</v>
      </c>
      <c r="B193" s="7">
        <v>0</v>
      </c>
      <c r="C193" s="7">
        <v>0</v>
      </c>
      <c r="D193" s="7">
        <v>0</v>
      </c>
      <c r="E193" s="7">
        <v>0</v>
      </c>
      <c r="F193" s="7">
        <f>DATA!E193</f>
        <v>0.17367992177849481</v>
      </c>
      <c r="G193" s="7">
        <f t="shared" si="6"/>
        <v>17.36799217784948</v>
      </c>
      <c r="H193" s="7">
        <f>DATA!F193</f>
        <v>0.23456604031601391</v>
      </c>
      <c r="I193" s="7">
        <f t="shared" si="7"/>
        <v>23.45660403160139</v>
      </c>
      <c r="J193" s="7">
        <v>0</v>
      </c>
      <c r="K193" s="7">
        <v>0</v>
      </c>
      <c r="L193" s="7">
        <v>0</v>
      </c>
      <c r="M193" s="7">
        <v>0</v>
      </c>
      <c r="N193" s="7">
        <v>0.20002634621858578</v>
      </c>
      <c r="O193" s="7">
        <v>0.20912547528517111</v>
      </c>
    </row>
    <row r="194" spans="1:15" x14ac:dyDescent="0.35">
      <c r="A194">
        <f t="shared" si="8"/>
        <v>1998</v>
      </c>
      <c r="B194" s="7">
        <v>0</v>
      </c>
      <c r="C194" s="7">
        <v>0</v>
      </c>
      <c r="D194" s="7">
        <v>0</v>
      </c>
      <c r="E194" s="7">
        <v>0</v>
      </c>
      <c r="F194" s="7">
        <f>DATA!E194</f>
        <v>0.17459506760561877</v>
      </c>
      <c r="G194" s="7">
        <f t="shared" ref="G194:G257" si="9">F194*100</f>
        <v>17.459506760561876</v>
      </c>
      <c r="H194" s="7">
        <f>DATA!F194</f>
        <v>0.23439757590031837</v>
      </c>
      <c r="I194" s="7">
        <f t="shared" si="7"/>
        <v>23.439757590031839</v>
      </c>
      <c r="J194" s="7">
        <v>0</v>
      </c>
      <c r="K194" s="7">
        <v>0</v>
      </c>
      <c r="L194" s="7">
        <v>0</v>
      </c>
      <c r="M194" s="7">
        <v>0</v>
      </c>
      <c r="N194" s="7">
        <v>0.19967743316729231</v>
      </c>
      <c r="O194" s="7">
        <v>0.22567209390382431</v>
      </c>
    </row>
    <row r="195" spans="1:15" x14ac:dyDescent="0.35">
      <c r="A195">
        <f t="shared" si="8"/>
        <v>1998.25</v>
      </c>
      <c r="B195" s="7">
        <v>0</v>
      </c>
      <c r="C195" s="7">
        <v>0</v>
      </c>
      <c r="D195" s="7">
        <v>0</v>
      </c>
      <c r="E195" s="7">
        <v>0</v>
      </c>
      <c r="F195" s="7">
        <f>DATA!E195</f>
        <v>0.17768052691445638</v>
      </c>
      <c r="G195" s="7">
        <f t="shared" si="9"/>
        <v>17.768052691445639</v>
      </c>
      <c r="H195" s="7">
        <f>DATA!F195</f>
        <v>0.22446619360531675</v>
      </c>
      <c r="I195" s="7">
        <f t="shared" ref="I195:I258" si="10">H195*100</f>
        <v>22.446619360531674</v>
      </c>
      <c r="J195" s="7">
        <v>0</v>
      </c>
      <c r="K195" s="7">
        <v>0</v>
      </c>
      <c r="L195" s="7">
        <v>0</v>
      </c>
      <c r="M195" s="7">
        <v>0</v>
      </c>
      <c r="N195" s="7">
        <v>0.1999075992607941</v>
      </c>
      <c r="O195" s="7">
        <v>0.22321201323491985</v>
      </c>
    </row>
    <row r="196" spans="1:15" x14ac:dyDescent="0.35">
      <c r="A196">
        <f t="shared" ref="A196:A259" si="11">A195+0.25</f>
        <v>1998.5</v>
      </c>
      <c r="B196" s="7">
        <v>0</v>
      </c>
      <c r="C196" s="7">
        <v>0</v>
      </c>
      <c r="D196" s="7">
        <v>0</v>
      </c>
      <c r="E196" s="7">
        <v>0</v>
      </c>
      <c r="F196" s="7">
        <f>DATA!E196</f>
        <v>0.17591903260789882</v>
      </c>
      <c r="G196" s="7">
        <f t="shared" si="9"/>
        <v>17.591903260789881</v>
      </c>
      <c r="H196" s="7">
        <f>DATA!F196</f>
        <v>0.22836967987772061</v>
      </c>
      <c r="I196" s="7">
        <f t="shared" si="10"/>
        <v>22.836967987772063</v>
      </c>
      <c r="J196" s="7">
        <v>0</v>
      </c>
      <c r="K196" s="7">
        <v>0</v>
      </c>
      <c r="L196" s="7">
        <v>0</v>
      </c>
      <c r="M196" s="7">
        <v>0</v>
      </c>
      <c r="N196" s="7">
        <v>0.20072168356104014</v>
      </c>
      <c r="O196" s="7">
        <v>0.22674052624952787</v>
      </c>
    </row>
    <row r="197" spans="1:15" x14ac:dyDescent="0.35">
      <c r="A197">
        <f t="shared" si="11"/>
        <v>1998.75</v>
      </c>
      <c r="B197" s="7">
        <v>0</v>
      </c>
      <c r="C197" s="7">
        <v>0</v>
      </c>
      <c r="D197" s="7">
        <v>0</v>
      </c>
      <c r="E197" s="7">
        <v>0</v>
      </c>
      <c r="F197" s="7">
        <f>DATA!E197</f>
        <v>0.17717951560594536</v>
      </c>
      <c r="G197" s="7">
        <f t="shared" si="9"/>
        <v>17.717951560594535</v>
      </c>
      <c r="H197" s="7">
        <f>DATA!F197</f>
        <v>0.22327017957088219</v>
      </c>
      <c r="I197" s="7">
        <f t="shared" si="10"/>
        <v>22.32701795708822</v>
      </c>
      <c r="J197" s="7">
        <v>0</v>
      </c>
      <c r="K197" s="7">
        <v>0</v>
      </c>
      <c r="L197" s="7">
        <v>0</v>
      </c>
      <c r="M197" s="7">
        <v>0</v>
      </c>
      <c r="N197" s="7">
        <v>0.20209424083769631</v>
      </c>
      <c r="O197" s="7">
        <v>0.22767165720185856</v>
      </c>
    </row>
    <row r="198" spans="1:15" x14ac:dyDescent="0.35">
      <c r="A198">
        <f t="shared" si="11"/>
        <v>1999</v>
      </c>
      <c r="B198" s="7">
        <v>0</v>
      </c>
      <c r="C198" s="7">
        <v>0</v>
      </c>
      <c r="D198" s="7">
        <v>0</v>
      </c>
      <c r="E198" s="7">
        <v>0</v>
      </c>
      <c r="F198" s="7">
        <f>DATA!E198</f>
        <v>0.17889591494510398</v>
      </c>
      <c r="G198" s="7">
        <f t="shared" si="9"/>
        <v>17.889591494510398</v>
      </c>
      <c r="H198" s="7">
        <f>DATA!F198</f>
        <v>0.22344584988831837</v>
      </c>
      <c r="I198" s="7">
        <f t="shared" si="10"/>
        <v>22.344584988831837</v>
      </c>
      <c r="J198" s="7">
        <v>0</v>
      </c>
      <c r="K198" s="7">
        <v>0</v>
      </c>
      <c r="L198" s="7">
        <v>0</v>
      </c>
      <c r="M198" s="7">
        <v>0</v>
      </c>
      <c r="N198" s="7">
        <v>0.20344915790465679</v>
      </c>
      <c r="O198" s="7">
        <v>0.22291466922339404</v>
      </c>
    </row>
    <row r="199" spans="1:15" x14ac:dyDescent="0.35">
      <c r="A199">
        <f t="shared" si="11"/>
        <v>1999.25</v>
      </c>
      <c r="B199" s="7">
        <v>0</v>
      </c>
      <c r="C199" s="7">
        <v>0</v>
      </c>
      <c r="D199" s="7">
        <v>0</v>
      </c>
      <c r="E199" s="7">
        <v>0</v>
      </c>
      <c r="F199" s="7">
        <f>DATA!E199</f>
        <v>0.18235053864405285</v>
      </c>
      <c r="G199" s="7">
        <f t="shared" si="9"/>
        <v>18.235053864405284</v>
      </c>
      <c r="H199" s="7">
        <f>DATA!F199</f>
        <v>0.23223222547158978</v>
      </c>
      <c r="I199" s="7">
        <f t="shared" si="10"/>
        <v>23.223222547158979</v>
      </c>
      <c r="J199" s="7">
        <v>0</v>
      </c>
      <c r="K199" s="7">
        <v>0</v>
      </c>
      <c r="L199" s="7">
        <v>0</v>
      </c>
      <c r="M199" s="7">
        <v>0</v>
      </c>
      <c r="N199" s="7">
        <v>0.20415400202634246</v>
      </c>
      <c r="O199" s="7">
        <v>0.22123575284943012</v>
      </c>
    </row>
    <row r="200" spans="1:15" x14ac:dyDescent="0.35">
      <c r="A200">
        <f t="shared" si="11"/>
        <v>1999.5</v>
      </c>
      <c r="B200" s="7">
        <v>0</v>
      </c>
      <c r="C200" s="7">
        <v>0</v>
      </c>
      <c r="D200" s="7">
        <v>0</v>
      </c>
      <c r="E200" s="7">
        <v>0</v>
      </c>
      <c r="F200" s="7">
        <f>DATA!E200</f>
        <v>0.18152924246188551</v>
      </c>
      <c r="G200" s="7">
        <f t="shared" si="9"/>
        <v>18.152924246188551</v>
      </c>
      <c r="H200" s="7">
        <f>DATA!F200</f>
        <v>0.23436362648704437</v>
      </c>
      <c r="I200" s="7">
        <f t="shared" si="10"/>
        <v>23.436362648704439</v>
      </c>
      <c r="J200" s="7">
        <v>0</v>
      </c>
      <c r="K200" s="7">
        <v>0</v>
      </c>
      <c r="L200" s="7">
        <v>0</v>
      </c>
      <c r="M200" s="7">
        <v>0</v>
      </c>
      <c r="N200" s="7">
        <v>0.20468120937820694</v>
      </c>
      <c r="O200" s="7">
        <v>0.22840107082015088</v>
      </c>
    </row>
    <row r="201" spans="1:15" x14ac:dyDescent="0.35">
      <c r="A201">
        <f t="shared" si="11"/>
        <v>1999.75</v>
      </c>
      <c r="B201" s="7">
        <v>0</v>
      </c>
      <c r="C201" s="7">
        <v>0</v>
      </c>
      <c r="D201" s="7">
        <v>0</v>
      </c>
      <c r="E201" s="7">
        <v>0</v>
      </c>
      <c r="F201" s="7">
        <f>DATA!E201</f>
        <v>0.18247625177540538</v>
      </c>
      <c r="G201" s="7">
        <f t="shared" si="9"/>
        <v>18.247625177540538</v>
      </c>
      <c r="H201" s="7">
        <f>DATA!F201</f>
        <v>0.23320832230229607</v>
      </c>
      <c r="I201" s="7">
        <f t="shared" si="10"/>
        <v>23.320832230229609</v>
      </c>
      <c r="J201" s="7">
        <v>0</v>
      </c>
      <c r="K201" s="7">
        <v>0</v>
      </c>
      <c r="L201" s="7">
        <v>0</v>
      </c>
      <c r="M201" s="7">
        <v>0</v>
      </c>
      <c r="N201" s="7">
        <v>0.20471307789170717</v>
      </c>
      <c r="O201" s="7">
        <v>0.23183683321264784</v>
      </c>
    </row>
    <row r="202" spans="1:15" x14ac:dyDescent="0.35">
      <c r="A202">
        <f t="shared" si="11"/>
        <v>2000</v>
      </c>
      <c r="B202" s="7">
        <v>0</v>
      </c>
      <c r="C202" s="7">
        <v>0</v>
      </c>
      <c r="D202" s="7">
        <v>0</v>
      </c>
      <c r="E202" s="7">
        <v>0</v>
      </c>
      <c r="F202" s="7">
        <f>DATA!E202</f>
        <v>0.18552168241548639</v>
      </c>
      <c r="G202" s="7">
        <f t="shared" si="9"/>
        <v>18.552168241548639</v>
      </c>
      <c r="H202" s="7">
        <f>DATA!F202</f>
        <v>0.23125864417503522</v>
      </c>
      <c r="I202" s="7">
        <f t="shared" si="10"/>
        <v>23.125864417503522</v>
      </c>
      <c r="J202" s="7">
        <v>0</v>
      </c>
      <c r="K202" s="7">
        <v>0</v>
      </c>
      <c r="L202" s="7">
        <v>0</v>
      </c>
      <c r="M202" s="7">
        <v>0</v>
      </c>
      <c r="N202" s="7">
        <v>0.20643095595626654</v>
      </c>
      <c r="O202" s="7">
        <v>0.24959881496111588</v>
      </c>
    </row>
    <row r="203" spans="1:15" x14ac:dyDescent="0.35">
      <c r="A203">
        <f t="shared" si="11"/>
        <v>2000.25</v>
      </c>
      <c r="B203" s="7">
        <v>0</v>
      </c>
      <c r="C203" s="7">
        <v>0</v>
      </c>
      <c r="D203" s="7">
        <v>0</v>
      </c>
      <c r="E203" s="7">
        <v>0</v>
      </c>
      <c r="F203" s="7">
        <f>DATA!E203</f>
        <v>0.186589103958475</v>
      </c>
      <c r="G203" s="7">
        <f t="shared" si="9"/>
        <v>18.658910395847499</v>
      </c>
      <c r="H203" s="7">
        <f>DATA!F203</f>
        <v>0.22910068156919597</v>
      </c>
      <c r="I203" s="7">
        <f t="shared" si="10"/>
        <v>22.910068156919596</v>
      </c>
      <c r="J203" s="7">
        <v>0</v>
      </c>
      <c r="K203" s="7">
        <v>0</v>
      </c>
      <c r="L203" s="7">
        <v>0</v>
      </c>
      <c r="M203" s="7">
        <v>0</v>
      </c>
      <c r="N203" s="7">
        <v>0.20523000759748056</v>
      </c>
      <c r="O203" s="7">
        <v>0.2511238761238761</v>
      </c>
    </row>
    <row r="204" spans="1:15" x14ac:dyDescent="0.35">
      <c r="A204">
        <f t="shared" si="11"/>
        <v>2000.5</v>
      </c>
      <c r="B204" s="7">
        <v>0</v>
      </c>
      <c r="C204" s="7">
        <v>0</v>
      </c>
      <c r="D204" s="7">
        <v>0</v>
      </c>
      <c r="E204" s="7">
        <v>0</v>
      </c>
      <c r="F204" s="7">
        <f>DATA!E204</f>
        <v>0.18736610610268867</v>
      </c>
      <c r="G204" s="7">
        <f t="shared" si="9"/>
        <v>18.736610610268865</v>
      </c>
      <c r="H204" s="7">
        <f>DATA!F204</f>
        <v>0.23185097807204949</v>
      </c>
      <c r="I204" s="7">
        <f t="shared" si="10"/>
        <v>23.185097807204951</v>
      </c>
      <c r="J204" s="7">
        <v>0</v>
      </c>
      <c r="K204" s="7">
        <v>0</v>
      </c>
      <c r="L204" s="7">
        <v>0</v>
      </c>
      <c r="M204" s="7">
        <v>0</v>
      </c>
      <c r="N204" s="7">
        <v>0.20617053329316054</v>
      </c>
      <c r="O204" s="7">
        <v>0.23697650663942796</v>
      </c>
    </row>
    <row r="205" spans="1:15" x14ac:dyDescent="0.35">
      <c r="A205">
        <f t="shared" si="11"/>
        <v>2000.75</v>
      </c>
      <c r="B205" s="7">
        <v>0</v>
      </c>
      <c r="C205" s="7">
        <v>0</v>
      </c>
      <c r="D205" s="7">
        <v>0</v>
      </c>
      <c r="E205" s="7">
        <v>0</v>
      </c>
      <c r="F205" s="7">
        <f>DATA!E205</f>
        <v>0.18841719120805386</v>
      </c>
      <c r="G205" s="7">
        <f t="shared" si="9"/>
        <v>18.841719120805386</v>
      </c>
      <c r="H205" s="7">
        <f>DATA!F205</f>
        <v>0.22315660058398645</v>
      </c>
      <c r="I205" s="7">
        <f t="shared" si="10"/>
        <v>22.315660058398645</v>
      </c>
      <c r="J205" s="7">
        <v>0</v>
      </c>
      <c r="K205" s="7">
        <v>0</v>
      </c>
      <c r="L205" s="7">
        <v>0</v>
      </c>
      <c r="M205" s="7">
        <v>0</v>
      </c>
      <c r="N205" s="7">
        <v>0.20680656475573694</v>
      </c>
      <c r="O205" s="7">
        <v>0.24752605884681356</v>
      </c>
    </row>
    <row r="206" spans="1:15" x14ac:dyDescent="0.35">
      <c r="A206">
        <f t="shared" si="11"/>
        <v>2001</v>
      </c>
      <c r="B206" s="7">
        <v>0</v>
      </c>
      <c r="C206" s="7">
        <v>0</v>
      </c>
      <c r="D206" s="7">
        <v>0</v>
      </c>
      <c r="E206" s="7">
        <v>0</v>
      </c>
      <c r="F206" s="7">
        <f>DATA!E206</f>
        <v>0.1883573219723397</v>
      </c>
      <c r="G206" s="7">
        <f t="shared" si="9"/>
        <v>18.83573219723397</v>
      </c>
      <c r="H206" s="7">
        <f>DATA!F206</f>
        <v>0.24264441407093015</v>
      </c>
      <c r="I206" s="7">
        <f t="shared" si="10"/>
        <v>24.264441407093017</v>
      </c>
      <c r="J206" s="7">
        <v>0</v>
      </c>
      <c r="K206" s="7">
        <v>0</v>
      </c>
      <c r="L206" s="7">
        <v>0</v>
      </c>
      <c r="M206" s="7">
        <v>0</v>
      </c>
      <c r="N206" s="7">
        <v>0.20907311782320623</v>
      </c>
      <c r="O206" s="7">
        <v>0.20623086140327523</v>
      </c>
    </row>
    <row r="207" spans="1:15" x14ac:dyDescent="0.35">
      <c r="A207">
        <f t="shared" si="11"/>
        <v>2001.25</v>
      </c>
      <c r="B207" s="7">
        <v>0</v>
      </c>
      <c r="C207" s="7">
        <v>0</v>
      </c>
      <c r="D207" s="7">
        <v>0</v>
      </c>
      <c r="E207" s="7">
        <v>0</v>
      </c>
      <c r="F207" s="7">
        <f>DATA!E207</f>
        <v>0.18914402530970226</v>
      </c>
      <c r="G207" s="7">
        <f t="shared" si="9"/>
        <v>18.914402530970225</v>
      </c>
      <c r="H207" s="7">
        <f>DATA!F207</f>
        <v>0.23988538917078109</v>
      </c>
      <c r="I207" s="7">
        <f t="shared" si="10"/>
        <v>23.98853891707811</v>
      </c>
      <c r="J207" s="7">
        <v>0</v>
      </c>
      <c r="K207" s="7">
        <v>0</v>
      </c>
      <c r="L207" s="7">
        <v>0</v>
      </c>
      <c r="M207" s="7">
        <v>0</v>
      </c>
      <c r="N207" s="7">
        <v>0.20883259157822665</v>
      </c>
      <c r="O207" s="7">
        <v>0.19003194888178912</v>
      </c>
    </row>
    <row r="208" spans="1:15" x14ac:dyDescent="0.35">
      <c r="A208">
        <f t="shared" si="11"/>
        <v>2001.5</v>
      </c>
      <c r="B208" s="7">
        <v>0</v>
      </c>
      <c r="C208" s="7">
        <v>0</v>
      </c>
      <c r="D208" s="7">
        <v>0</v>
      </c>
      <c r="E208" s="7">
        <v>0</v>
      </c>
      <c r="F208" s="7">
        <f>DATA!E208</f>
        <v>0.19049434224608833</v>
      </c>
      <c r="G208" s="7">
        <f t="shared" si="9"/>
        <v>19.049434224608834</v>
      </c>
      <c r="H208" s="7">
        <f>DATA!F208</f>
        <v>0.24565408923403409</v>
      </c>
      <c r="I208" s="7">
        <f t="shared" si="10"/>
        <v>24.56540892340341</v>
      </c>
      <c r="J208" s="7">
        <v>0</v>
      </c>
      <c r="K208" s="7">
        <v>0</v>
      </c>
      <c r="L208" s="7">
        <v>0</v>
      </c>
      <c r="M208" s="7">
        <v>0</v>
      </c>
      <c r="N208" s="7">
        <v>0.18894706362056943</v>
      </c>
      <c r="O208" s="7">
        <v>0.17763604288234497</v>
      </c>
    </row>
    <row r="209" spans="1:15" x14ac:dyDescent="0.35">
      <c r="A209">
        <f t="shared" si="11"/>
        <v>2001.75</v>
      </c>
      <c r="B209" s="7">
        <v>0</v>
      </c>
      <c r="C209" s="7">
        <v>0</v>
      </c>
      <c r="D209" s="7">
        <v>0</v>
      </c>
      <c r="E209" s="7">
        <v>0</v>
      </c>
      <c r="F209" s="7">
        <f>DATA!E209</f>
        <v>0.19203893810599257</v>
      </c>
      <c r="G209" s="7">
        <f t="shared" si="9"/>
        <v>19.203893810599258</v>
      </c>
      <c r="H209" s="7">
        <f>DATA!F209</f>
        <v>0.24809890208783297</v>
      </c>
      <c r="I209" s="7">
        <f t="shared" si="10"/>
        <v>24.809890208783298</v>
      </c>
      <c r="J209" s="7">
        <v>0</v>
      </c>
      <c r="K209" s="7">
        <v>0</v>
      </c>
      <c r="L209" s="7">
        <v>0</v>
      </c>
      <c r="M209" s="7">
        <v>0</v>
      </c>
      <c r="N209" s="7">
        <v>0.20353049820041674</v>
      </c>
      <c r="O209" s="7">
        <v>0.15423548215237079</v>
      </c>
    </row>
    <row r="210" spans="1:15" x14ac:dyDescent="0.35">
      <c r="A210">
        <f t="shared" si="11"/>
        <v>2002</v>
      </c>
      <c r="B210" s="7">
        <v>0</v>
      </c>
      <c r="C210" s="7">
        <v>0</v>
      </c>
      <c r="D210" s="7">
        <v>0</v>
      </c>
      <c r="E210" s="7">
        <v>0</v>
      </c>
      <c r="F210" s="7">
        <f>DATA!E210</f>
        <v>0.19214058644614368</v>
      </c>
      <c r="G210" s="7">
        <f t="shared" si="9"/>
        <v>19.214058644614369</v>
      </c>
      <c r="H210" s="7">
        <f>DATA!F210</f>
        <v>0.2481968219236568</v>
      </c>
      <c r="I210" s="7">
        <f t="shared" si="10"/>
        <v>24.819682192365679</v>
      </c>
      <c r="J210" s="7">
        <v>0</v>
      </c>
      <c r="K210" s="7">
        <v>0</v>
      </c>
      <c r="L210" s="7">
        <v>0</v>
      </c>
      <c r="M210" s="7">
        <v>0</v>
      </c>
      <c r="N210" s="7">
        <v>0.18611493603549531</v>
      </c>
      <c r="O210" s="7">
        <v>0.14330024813895781</v>
      </c>
    </row>
    <row r="211" spans="1:15" x14ac:dyDescent="0.35">
      <c r="A211">
        <f t="shared" si="11"/>
        <v>2002.25</v>
      </c>
      <c r="B211" s="7">
        <v>0</v>
      </c>
      <c r="C211" s="7">
        <v>0</v>
      </c>
      <c r="D211" s="7">
        <v>0</v>
      </c>
      <c r="E211" s="7">
        <v>0</v>
      </c>
      <c r="F211" s="7">
        <f>DATA!E211</f>
        <v>0.19333481342569142</v>
      </c>
      <c r="G211" s="7">
        <f t="shared" si="9"/>
        <v>19.333481342569144</v>
      </c>
      <c r="H211" s="7">
        <f>DATA!F211</f>
        <v>0.24221076092424115</v>
      </c>
      <c r="I211" s="7">
        <f t="shared" si="10"/>
        <v>24.221076092424116</v>
      </c>
      <c r="J211" s="7">
        <v>0</v>
      </c>
      <c r="K211" s="7">
        <v>0</v>
      </c>
      <c r="L211" s="7">
        <v>0</v>
      </c>
      <c r="M211" s="7">
        <v>0</v>
      </c>
      <c r="N211" s="7">
        <v>0.1839429706672899</v>
      </c>
      <c r="O211" s="7">
        <v>0.14485924851999515</v>
      </c>
    </row>
    <row r="212" spans="1:15" x14ac:dyDescent="0.35">
      <c r="A212">
        <f t="shared" si="11"/>
        <v>2002.5</v>
      </c>
      <c r="B212" s="7">
        <v>0</v>
      </c>
      <c r="C212" s="7">
        <v>0</v>
      </c>
      <c r="D212" s="7">
        <v>0</v>
      </c>
      <c r="E212" s="7">
        <v>0</v>
      </c>
      <c r="F212" s="7">
        <f>DATA!E212</f>
        <v>0.19376416031831575</v>
      </c>
      <c r="G212" s="7">
        <f t="shared" si="9"/>
        <v>19.376416031831575</v>
      </c>
      <c r="H212" s="7">
        <f>DATA!F212</f>
        <v>0.24553464549932297</v>
      </c>
      <c r="I212" s="7">
        <f t="shared" si="10"/>
        <v>24.553464549932297</v>
      </c>
      <c r="J212" s="7">
        <v>0</v>
      </c>
      <c r="K212" s="7">
        <v>0</v>
      </c>
      <c r="L212" s="7">
        <v>0</v>
      </c>
      <c r="M212" s="7">
        <v>0</v>
      </c>
      <c r="N212" s="7">
        <v>0.18239287675714835</v>
      </c>
      <c r="O212" s="7">
        <v>0.1494388659184879</v>
      </c>
    </row>
    <row r="213" spans="1:15" x14ac:dyDescent="0.35">
      <c r="A213">
        <f t="shared" si="11"/>
        <v>2002.75</v>
      </c>
      <c r="B213" s="7">
        <v>0</v>
      </c>
      <c r="C213" s="7">
        <v>0</v>
      </c>
      <c r="D213" s="7">
        <v>0</v>
      </c>
      <c r="E213" s="7">
        <v>0</v>
      </c>
      <c r="F213" s="7">
        <f>DATA!E213</f>
        <v>0.19452831724437766</v>
      </c>
      <c r="G213" s="7">
        <f t="shared" si="9"/>
        <v>19.452831724437765</v>
      </c>
      <c r="H213" s="7">
        <f>DATA!F213</f>
        <v>0.24373378332942125</v>
      </c>
      <c r="I213" s="7">
        <f t="shared" si="10"/>
        <v>24.373378332942124</v>
      </c>
      <c r="J213" s="7">
        <v>0</v>
      </c>
      <c r="K213" s="7">
        <v>0</v>
      </c>
      <c r="L213" s="7">
        <v>0</v>
      </c>
      <c r="M213" s="7">
        <v>0</v>
      </c>
      <c r="N213" s="7">
        <v>0.18097720476151694</v>
      </c>
      <c r="O213" s="7">
        <v>0.15527610716238383</v>
      </c>
    </row>
    <row r="214" spans="1:15" x14ac:dyDescent="0.35">
      <c r="A214">
        <f t="shared" si="11"/>
        <v>2003</v>
      </c>
      <c r="B214" s="7">
        <v>0</v>
      </c>
      <c r="C214" s="7">
        <v>0</v>
      </c>
      <c r="D214" s="7">
        <v>0</v>
      </c>
      <c r="E214" s="7">
        <v>0</v>
      </c>
      <c r="F214" s="7">
        <f>DATA!E214</f>
        <v>0.1969112627602338</v>
      </c>
      <c r="G214" s="7">
        <f t="shared" si="9"/>
        <v>19.691126276023379</v>
      </c>
      <c r="H214" s="7">
        <f>DATA!F214</f>
        <v>0.2623030991732857</v>
      </c>
      <c r="I214" s="7">
        <f t="shared" si="10"/>
        <v>26.230309917328569</v>
      </c>
      <c r="J214" s="7">
        <v>0</v>
      </c>
      <c r="K214" s="7">
        <v>0</v>
      </c>
      <c r="L214" s="7">
        <v>0</v>
      </c>
      <c r="M214" s="7">
        <v>0</v>
      </c>
      <c r="N214" s="7">
        <v>0.17954582207129161</v>
      </c>
      <c r="O214" s="7">
        <v>0.18028577807546328</v>
      </c>
    </row>
    <row r="215" spans="1:15" x14ac:dyDescent="0.35">
      <c r="A215">
        <f t="shared" si="11"/>
        <v>2003.25</v>
      </c>
      <c r="B215" s="7">
        <v>0</v>
      </c>
      <c r="C215" s="7">
        <v>0</v>
      </c>
      <c r="D215" s="7">
        <v>0</v>
      </c>
      <c r="E215" s="7">
        <v>0</v>
      </c>
      <c r="F215" s="7">
        <f>DATA!E215</f>
        <v>0.19506716847452754</v>
      </c>
      <c r="G215" s="7">
        <f t="shared" si="9"/>
        <v>19.506716847452754</v>
      </c>
      <c r="H215" s="7">
        <f>DATA!F215</f>
        <v>0.26401276394579259</v>
      </c>
      <c r="I215" s="7">
        <f t="shared" si="10"/>
        <v>26.401276394579259</v>
      </c>
      <c r="J215" s="7">
        <v>0</v>
      </c>
      <c r="K215" s="7">
        <v>0</v>
      </c>
      <c r="L215" s="7">
        <v>0</v>
      </c>
      <c r="M215" s="7">
        <v>0</v>
      </c>
      <c r="N215" s="7">
        <v>0.17861539162943374</v>
      </c>
      <c r="O215" s="7">
        <v>0.17314107392661143</v>
      </c>
    </row>
    <row r="216" spans="1:15" x14ac:dyDescent="0.35">
      <c r="A216">
        <f t="shared" si="11"/>
        <v>2003.5</v>
      </c>
      <c r="B216" s="7">
        <v>-1.0796252125583463</v>
      </c>
      <c r="C216" s="7">
        <v>-3.2838648563309127</v>
      </c>
      <c r="D216" s="7">
        <v>-0.83139999999999992</v>
      </c>
      <c r="E216" s="7">
        <v>-2.4104999999999999</v>
      </c>
      <c r="F216" s="7">
        <f>DATA!E216</f>
        <v>0.19569005550973637</v>
      </c>
      <c r="G216" s="7">
        <f t="shared" si="9"/>
        <v>19.569005550973635</v>
      </c>
      <c r="H216" s="7">
        <f>DATA!F216</f>
        <v>0.2521016394689794</v>
      </c>
      <c r="I216" s="7">
        <f t="shared" si="10"/>
        <v>25.210163946897939</v>
      </c>
      <c r="J216" s="7">
        <v>-1.0796252125583463</v>
      </c>
      <c r="K216" s="7">
        <v>-3.2838648563309127</v>
      </c>
      <c r="L216" s="7">
        <v>-0.80042130534789768</v>
      </c>
      <c r="M216" s="7">
        <v>-2.5011027234064303</v>
      </c>
      <c r="N216" s="7">
        <v>0.16671373222333924</v>
      </c>
      <c r="O216" s="7">
        <v>0.18526510480887792</v>
      </c>
    </row>
    <row r="217" spans="1:15" x14ac:dyDescent="0.35">
      <c r="A217">
        <f t="shared" si="11"/>
        <v>2003.75</v>
      </c>
      <c r="B217" s="7">
        <v>0</v>
      </c>
      <c r="C217" s="7">
        <v>0</v>
      </c>
      <c r="D217" s="7">
        <v>0</v>
      </c>
      <c r="E217" s="7">
        <v>0</v>
      </c>
      <c r="F217" s="7">
        <f>DATA!E217</f>
        <v>0.19547324381922587</v>
      </c>
      <c r="G217" s="7">
        <f t="shared" si="9"/>
        <v>19.547324381922586</v>
      </c>
      <c r="H217" s="7">
        <f>DATA!F217</f>
        <v>0.26130102300258157</v>
      </c>
      <c r="I217" s="7">
        <f t="shared" si="10"/>
        <v>26.130102300258155</v>
      </c>
      <c r="J217" s="7">
        <v>0</v>
      </c>
      <c r="K217" s="7">
        <v>0</v>
      </c>
      <c r="L217" s="7">
        <v>0</v>
      </c>
      <c r="M217" s="7">
        <v>0</v>
      </c>
      <c r="N217" s="7">
        <v>0.17197777210865492</v>
      </c>
      <c r="O217" s="7">
        <v>0.19407321324811155</v>
      </c>
    </row>
    <row r="218" spans="1:15" x14ac:dyDescent="0.35">
      <c r="A218">
        <f t="shared" si="11"/>
        <v>2004</v>
      </c>
      <c r="B218" s="7">
        <v>0</v>
      </c>
      <c r="C218" s="7">
        <v>0</v>
      </c>
      <c r="D218" s="7">
        <v>0</v>
      </c>
      <c r="E218" s="7">
        <v>0</v>
      </c>
      <c r="F218" s="7">
        <f>DATA!E218</f>
        <v>0.19653461945181311</v>
      </c>
      <c r="G218" s="7">
        <f t="shared" si="9"/>
        <v>19.653461945181309</v>
      </c>
      <c r="H218" s="7">
        <f>DATA!F218</f>
        <v>0.21596441758324469</v>
      </c>
      <c r="I218" s="7">
        <f t="shared" si="10"/>
        <v>21.59644175832447</v>
      </c>
      <c r="J218" s="7">
        <v>0</v>
      </c>
      <c r="K218" s="7">
        <v>0</v>
      </c>
      <c r="L218" s="7">
        <v>0</v>
      </c>
      <c r="M218" s="7">
        <v>0</v>
      </c>
      <c r="N218" s="7">
        <v>0.17171150971599403</v>
      </c>
      <c r="O218" s="7">
        <v>0.17909425562879888</v>
      </c>
    </row>
    <row r="219" spans="1:15" x14ac:dyDescent="0.35">
      <c r="A219">
        <f t="shared" si="11"/>
        <v>2004.25</v>
      </c>
      <c r="B219" s="7">
        <v>0</v>
      </c>
      <c r="C219" s="7">
        <v>0</v>
      </c>
      <c r="D219" s="7">
        <v>0</v>
      </c>
      <c r="E219" s="7">
        <v>0</v>
      </c>
      <c r="F219" s="7">
        <f>DATA!E219</f>
        <v>0.19580908648665046</v>
      </c>
      <c r="G219" s="7">
        <f t="shared" si="9"/>
        <v>19.580908648665048</v>
      </c>
      <c r="H219" s="7">
        <f>DATA!F219</f>
        <v>0.20242438107065483</v>
      </c>
      <c r="I219" s="7">
        <f t="shared" si="10"/>
        <v>20.242438107065482</v>
      </c>
      <c r="J219" s="7">
        <v>0</v>
      </c>
      <c r="K219" s="7">
        <v>0</v>
      </c>
      <c r="L219" s="7">
        <v>0</v>
      </c>
      <c r="M219" s="7">
        <v>0</v>
      </c>
      <c r="N219" s="7">
        <v>0.17189846881989992</v>
      </c>
      <c r="O219" s="7">
        <v>0.18711707236297398</v>
      </c>
    </row>
    <row r="220" spans="1:15" x14ac:dyDescent="0.35">
      <c r="A220">
        <f t="shared" si="11"/>
        <v>2004.5</v>
      </c>
      <c r="B220" s="7">
        <v>0</v>
      </c>
      <c r="C220" s="7">
        <v>0</v>
      </c>
      <c r="D220" s="7">
        <v>0</v>
      </c>
      <c r="E220" s="7">
        <v>0</v>
      </c>
      <c r="F220" s="7">
        <f>DATA!E220</f>
        <v>0.17758708660162328</v>
      </c>
      <c r="G220" s="7">
        <f t="shared" si="9"/>
        <v>17.758708660162327</v>
      </c>
      <c r="H220" s="7">
        <f>DATA!F220</f>
        <v>0.1958967086001864</v>
      </c>
      <c r="I220" s="7">
        <f t="shared" si="10"/>
        <v>19.589670860018639</v>
      </c>
      <c r="J220" s="7">
        <v>0</v>
      </c>
      <c r="K220" s="7">
        <v>0</v>
      </c>
      <c r="L220" s="7">
        <v>0</v>
      </c>
      <c r="M220" s="7">
        <v>0</v>
      </c>
      <c r="N220" s="7">
        <v>0.17276852609541218</v>
      </c>
      <c r="O220" s="7">
        <v>0.19220187092209731</v>
      </c>
    </row>
    <row r="221" spans="1:15" x14ac:dyDescent="0.35">
      <c r="A221">
        <f t="shared" si="11"/>
        <v>2004.75</v>
      </c>
      <c r="B221" s="7">
        <v>0</v>
      </c>
      <c r="C221" s="7">
        <v>0</v>
      </c>
      <c r="D221" s="7">
        <v>0</v>
      </c>
      <c r="E221" s="7">
        <v>0</v>
      </c>
      <c r="F221" s="7">
        <f>DATA!E221</f>
        <v>0.1914335429289534</v>
      </c>
      <c r="G221" s="7">
        <f t="shared" si="9"/>
        <v>19.143354292895339</v>
      </c>
      <c r="H221" s="7">
        <f>DATA!F221</f>
        <v>0.18207249877344606</v>
      </c>
      <c r="I221" s="7">
        <f t="shared" si="10"/>
        <v>18.207249877344605</v>
      </c>
      <c r="J221" s="7">
        <v>0</v>
      </c>
      <c r="K221" s="7">
        <v>0</v>
      </c>
      <c r="L221" s="7">
        <v>0</v>
      </c>
      <c r="M221" s="7">
        <v>0</v>
      </c>
      <c r="N221" s="7">
        <v>0.17133088777811264</v>
      </c>
      <c r="O221" s="7">
        <v>0.19785629217943629</v>
      </c>
    </row>
    <row r="222" spans="1:15" x14ac:dyDescent="0.35">
      <c r="A222">
        <f t="shared" si="11"/>
        <v>2005</v>
      </c>
      <c r="B222" s="7">
        <v>0</v>
      </c>
      <c r="C222" s="7">
        <v>0</v>
      </c>
      <c r="D222" s="7">
        <v>0</v>
      </c>
      <c r="E222" s="7">
        <v>0</v>
      </c>
      <c r="F222" s="7">
        <f>DATA!E222</f>
        <v>0.1743073310849633</v>
      </c>
      <c r="G222" s="7">
        <f t="shared" si="9"/>
        <v>17.43073310849633</v>
      </c>
      <c r="H222" s="7">
        <f>DATA!F222</f>
        <v>0.16853550649790211</v>
      </c>
      <c r="I222" s="7">
        <f t="shared" si="10"/>
        <v>16.853550649790211</v>
      </c>
      <c r="J222" s="7">
        <v>0</v>
      </c>
      <c r="K222" s="7">
        <v>0</v>
      </c>
      <c r="L222" s="7">
        <v>0</v>
      </c>
      <c r="M222" s="7">
        <v>0</v>
      </c>
      <c r="N222" s="7">
        <v>0.18036501205620686</v>
      </c>
      <c r="O222" s="7">
        <v>0.22760412906951563</v>
      </c>
    </row>
    <row r="223" spans="1:15" x14ac:dyDescent="0.35">
      <c r="A223">
        <f t="shared" si="11"/>
        <v>2005.25</v>
      </c>
      <c r="B223" s="7">
        <v>0</v>
      </c>
      <c r="C223" s="7">
        <v>0</v>
      </c>
      <c r="D223" s="7">
        <v>0</v>
      </c>
      <c r="E223" s="7">
        <v>0</v>
      </c>
      <c r="F223" s="7">
        <f>DATA!E223</f>
        <v>0.17205223273626769</v>
      </c>
      <c r="G223" s="7">
        <f t="shared" si="9"/>
        <v>17.205223273626768</v>
      </c>
      <c r="H223" s="7">
        <f>DATA!F223</f>
        <v>0.15986818240013659</v>
      </c>
      <c r="I223" s="7">
        <f t="shared" si="10"/>
        <v>15.986818240013658</v>
      </c>
      <c r="J223" s="7">
        <v>0</v>
      </c>
      <c r="K223" s="7">
        <v>0</v>
      </c>
      <c r="L223" s="7">
        <v>0</v>
      </c>
      <c r="M223" s="7">
        <v>0</v>
      </c>
      <c r="N223" s="7">
        <v>0.18094749794913864</v>
      </c>
      <c r="O223" s="7">
        <v>0.21809761311008197</v>
      </c>
    </row>
    <row r="224" spans="1:15" x14ac:dyDescent="0.35">
      <c r="A224">
        <f t="shared" si="11"/>
        <v>2005.5</v>
      </c>
      <c r="B224" s="7">
        <v>0</v>
      </c>
      <c r="C224" s="7">
        <v>0</v>
      </c>
      <c r="D224" s="7">
        <v>0</v>
      </c>
      <c r="E224" s="7">
        <v>0</v>
      </c>
      <c r="F224" s="7">
        <f>DATA!E224</f>
        <v>0.17016861893935048</v>
      </c>
      <c r="G224" s="7">
        <f t="shared" si="9"/>
        <v>17.016861893935047</v>
      </c>
      <c r="H224" s="7">
        <f>DATA!F224</f>
        <v>0.15540730639048092</v>
      </c>
      <c r="I224" s="7">
        <f t="shared" si="10"/>
        <v>15.540730639048093</v>
      </c>
      <c r="J224" s="7">
        <v>0</v>
      </c>
      <c r="K224" s="7">
        <v>0</v>
      </c>
      <c r="L224" s="7">
        <v>0</v>
      </c>
      <c r="M224" s="7">
        <v>0</v>
      </c>
      <c r="N224" s="7">
        <v>0.18146997617396024</v>
      </c>
      <c r="O224" s="7">
        <v>0.2184326633517753</v>
      </c>
    </row>
    <row r="225" spans="1:15" x14ac:dyDescent="0.35">
      <c r="A225">
        <f t="shared" si="11"/>
        <v>2005.75</v>
      </c>
      <c r="B225" s="7">
        <v>0</v>
      </c>
      <c r="C225" s="7">
        <v>0</v>
      </c>
      <c r="D225" s="7">
        <v>0</v>
      </c>
      <c r="E225" s="7">
        <v>0</v>
      </c>
      <c r="F225" s="7">
        <f>DATA!E225</f>
        <v>0.16820068511558145</v>
      </c>
      <c r="G225" s="7">
        <f t="shared" si="9"/>
        <v>16.820068511558144</v>
      </c>
      <c r="H225" s="7">
        <f>DATA!F225</f>
        <v>0.15687108686956194</v>
      </c>
      <c r="I225" s="7">
        <f t="shared" si="10"/>
        <v>15.687108686956194</v>
      </c>
      <c r="J225" s="7">
        <v>0</v>
      </c>
      <c r="K225" s="7">
        <v>0</v>
      </c>
      <c r="L225" s="7">
        <v>0</v>
      </c>
      <c r="M225" s="7">
        <v>0</v>
      </c>
      <c r="N225" s="7">
        <v>0.18141054194506312</v>
      </c>
      <c r="O225" s="7">
        <v>0.22957042957042956</v>
      </c>
    </row>
    <row r="226" spans="1:15" x14ac:dyDescent="0.35">
      <c r="A226">
        <f t="shared" si="11"/>
        <v>2006</v>
      </c>
      <c r="B226" s="7">
        <v>0</v>
      </c>
      <c r="C226" s="7">
        <v>0</v>
      </c>
      <c r="D226" s="7">
        <v>0</v>
      </c>
      <c r="E226" s="7">
        <v>0</v>
      </c>
      <c r="F226" s="7">
        <f>DATA!E226</f>
        <v>0.16629096341979965</v>
      </c>
      <c r="G226" s="7">
        <f t="shared" si="9"/>
        <v>16.629096341979967</v>
      </c>
      <c r="H226" s="7">
        <f>DATA!F226</f>
        <v>0.17530090605523582</v>
      </c>
      <c r="I226" s="7">
        <f t="shared" si="10"/>
        <v>17.530090605523583</v>
      </c>
      <c r="J226" s="7">
        <v>0</v>
      </c>
      <c r="K226" s="7">
        <v>0</v>
      </c>
      <c r="L226" s="7">
        <v>0</v>
      </c>
      <c r="M226" s="7">
        <v>0</v>
      </c>
      <c r="N226" s="7">
        <v>0.18503705559785277</v>
      </c>
      <c r="O226" s="7">
        <v>0.22898903775883067</v>
      </c>
    </row>
    <row r="227" spans="1:15" x14ac:dyDescent="0.35">
      <c r="A227">
        <f t="shared" si="11"/>
        <v>2006.25</v>
      </c>
      <c r="B227" s="7">
        <v>0</v>
      </c>
      <c r="C227" s="7">
        <v>0</v>
      </c>
      <c r="D227" s="7">
        <v>0</v>
      </c>
      <c r="E227" s="7">
        <v>0</v>
      </c>
      <c r="F227" s="7">
        <f>DATA!E227</f>
        <v>0.16631570884250332</v>
      </c>
      <c r="G227" s="7">
        <f t="shared" si="9"/>
        <v>16.631570884250333</v>
      </c>
      <c r="H227" s="7">
        <f>DATA!F227</f>
        <v>0.17492305668528962</v>
      </c>
      <c r="I227" s="7">
        <f t="shared" si="10"/>
        <v>17.492305668528964</v>
      </c>
      <c r="J227" s="7">
        <v>0</v>
      </c>
      <c r="K227" s="7">
        <v>0</v>
      </c>
      <c r="L227" s="7">
        <v>0</v>
      </c>
      <c r="M227" s="7">
        <v>0</v>
      </c>
      <c r="N227" s="7">
        <v>0.18378650553877141</v>
      </c>
      <c r="O227" s="7">
        <v>0.23483153251070901</v>
      </c>
    </row>
    <row r="228" spans="1:15" x14ac:dyDescent="0.35">
      <c r="A228">
        <f t="shared" si="11"/>
        <v>2006.5</v>
      </c>
      <c r="B228" s="7">
        <v>0</v>
      </c>
      <c r="C228" s="7">
        <v>0</v>
      </c>
      <c r="D228" s="7">
        <v>0</v>
      </c>
      <c r="E228" s="7">
        <v>0</v>
      </c>
      <c r="F228" s="7">
        <f>DATA!E228</f>
        <v>0.15480332931128382</v>
      </c>
      <c r="G228" s="7">
        <f t="shared" si="9"/>
        <v>15.480332931128382</v>
      </c>
      <c r="H228" s="7">
        <f>DATA!F228</f>
        <v>0.18369459352624995</v>
      </c>
      <c r="I228" s="7">
        <f t="shared" si="10"/>
        <v>18.369459352624993</v>
      </c>
      <c r="J228" s="7">
        <v>0</v>
      </c>
      <c r="K228" s="7">
        <v>0</v>
      </c>
      <c r="L228" s="7">
        <v>0</v>
      </c>
      <c r="M228" s="7">
        <v>0</v>
      </c>
      <c r="N228" s="7">
        <v>0.18399932335914596</v>
      </c>
      <c r="O228" s="7">
        <v>0.2376335453591058</v>
      </c>
    </row>
    <row r="229" spans="1:15" x14ac:dyDescent="0.35">
      <c r="A229">
        <f t="shared" si="11"/>
        <v>2006.75</v>
      </c>
      <c r="B229" s="7">
        <v>0</v>
      </c>
      <c r="C229" s="7">
        <v>0</v>
      </c>
      <c r="D229" s="7">
        <v>0</v>
      </c>
      <c r="E229" s="7">
        <v>0</v>
      </c>
      <c r="F229" s="7">
        <f>DATA!E229</f>
        <v>0.16045695619622871</v>
      </c>
      <c r="G229" s="7">
        <f t="shared" si="9"/>
        <v>16.045695619622872</v>
      </c>
      <c r="H229" s="7">
        <f>DATA!F229</f>
        <v>0.18947294769945291</v>
      </c>
      <c r="I229" s="7">
        <f t="shared" si="10"/>
        <v>18.947294769945291</v>
      </c>
      <c r="J229" s="7">
        <v>0</v>
      </c>
      <c r="K229" s="7">
        <v>0</v>
      </c>
      <c r="L229" s="7">
        <v>0</v>
      </c>
      <c r="M229" s="7">
        <v>0</v>
      </c>
      <c r="N229" s="7">
        <v>0.18549035927313084</v>
      </c>
      <c r="O229" s="7">
        <v>0.22808258828069727</v>
      </c>
    </row>
    <row r="230" spans="1:15" x14ac:dyDescent="0.35">
      <c r="A230">
        <f t="shared" si="11"/>
        <v>2007</v>
      </c>
      <c r="B230" s="7">
        <v>0</v>
      </c>
      <c r="C230" s="7">
        <v>0</v>
      </c>
      <c r="D230" s="7">
        <v>0</v>
      </c>
      <c r="E230" s="7">
        <v>0</v>
      </c>
      <c r="F230" s="7">
        <f>DATA!E230</f>
        <v>0.15920633750304061</v>
      </c>
      <c r="G230" s="7">
        <f t="shared" si="9"/>
        <v>15.920633750304061</v>
      </c>
      <c r="H230" s="7">
        <f>DATA!F230</f>
        <v>0.17730947968783645</v>
      </c>
      <c r="I230" s="7">
        <f t="shared" si="10"/>
        <v>17.730947968783646</v>
      </c>
    </row>
    <row r="231" spans="1:15" x14ac:dyDescent="0.35">
      <c r="A231">
        <f t="shared" si="11"/>
        <v>2007.25</v>
      </c>
      <c r="B231" s="7">
        <v>0</v>
      </c>
      <c r="C231" s="7">
        <v>0</v>
      </c>
      <c r="D231" s="7">
        <v>0</v>
      </c>
      <c r="E231" s="7">
        <v>0</v>
      </c>
      <c r="F231" s="7">
        <f>DATA!E231</f>
        <v>0.15982760445632657</v>
      </c>
      <c r="G231" s="7">
        <f t="shared" si="9"/>
        <v>15.982760445632657</v>
      </c>
      <c r="H231" s="7">
        <f>DATA!F231</f>
        <v>0.18233497540920771</v>
      </c>
      <c r="I231" s="7">
        <f t="shared" si="10"/>
        <v>18.233497540920769</v>
      </c>
    </row>
    <row r="232" spans="1:15" x14ac:dyDescent="0.35">
      <c r="A232">
        <f t="shared" si="11"/>
        <v>2007.5</v>
      </c>
      <c r="B232" s="7">
        <v>0</v>
      </c>
      <c r="C232" s="7">
        <v>0</v>
      </c>
      <c r="D232" s="7">
        <v>0</v>
      </c>
      <c r="E232" s="7">
        <v>0</v>
      </c>
      <c r="F232" s="7">
        <f>DATA!E232</f>
        <v>0.16139396172020168</v>
      </c>
      <c r="G232" s="7">
        <f t="shared" si="9"/>
        <v>16.139396172020167</v>
      </c>
      <c r="H232" s="7">
        <f>DATA!F232</f>
        <v>0.18762020983475702</v>
      </c>
      <c r="I232" s="7">
        <f t="shared" si="10"/>
        <v>18.762020983475701</v>
      </c>
    </row>
    <row r="233" spans="1:15" x14ac:dyDescent="0.35">
      <c r="A233">
        <f t="shared" si="11"/>
        <v>2007.75</v>
      </c>
      <c r="B233" s="7">
        <v>0</v>
      </c>
      <c r="C233" s="7">
        <v>0</v>
      </c>
      <c r="D233" s="7">
        <v>0</v>
      </c>
      <c r="E233" s="7">
        <v>0</v>
      </c>
      <c r="F233" s="7">
        <f>DATA!E233</f>
        <v>0.15975747226678982</v>
      </c>
      <c r="G233" s="7">
        <f t="shared" si="9"/>
        <v>15.975747226678983</v>
      </c>
      <c r="H233" s="7">
        <f>DATA!F233</f>
        <v>0.19040586966669137</v>
      </c>
      <c r="I233" s="7">
        <f t="shared" si="10"/>
        <v>19.040586966669139</v>
      </c>
    </row>
    <row r="234" spans="1:15" x14ac:dyDescent="0.35">
      <c r="A234">
        <f t="shared" si="11"/>
        <v>2008</v>
      </c>
      <c r="B234" s="7">
        <v>0</v>
      </c>
      <c r="C234" s="7">
        <v>0</v>
      </c>
      <c r="D234" s="7">
        <v>0</v>
      </c>
      <c r="E234" s="7">
        <v>0</v>
      </c>
      <c r="F234" s="7">
        <f>DATA!E234</f>
        <v>0.16777375463961014</v>
      </c>
      <c r="G234" s="7">
        <f t="shared" si="9"/>
        <v>16.777375463961015</v>
      </c>
      <c r="H234" s="7">
        <f>DATA!F234</f>
        <v>0.19651658809127873</v>
      </c>
      <c r="I234" s="7">
        <f t="shared" si="10"/>
        <v>19.651658809127873</v>
      </c>
    </row>
    <row r="235" spans="1:15" x14ac:dyDescent="0.35">
      <c r="A235">
        <f t="shared" si="11"/>
        <v>2008.25</v>
      </c>
      <c r="B235" s="7">
        <v>0</v>
      </c>
      <c r="C235" s="7">
        <v>0</v>
      </c>
      <c r="D235" s="7">
        <v>0</v>
      </c>
      <c r="E235" s="7">
        <v>0</v>
      </c>
      <c r="F235" s="7">
        <f>DATA!E235</f>
        <v>0.16803070901930059</v>
      </c>
      <c r="G235" s="7">
        <f t="shared" si="9"/>
        <v>16.803070901930059</v>
      </c>
      <c r="H235" s="7">
        <f>DATA!F235</f>
        <v>0.18932959532237251</v>
      </c>
      <c r="I235" s="7">
        <f t="shared" si="10"/>
        <v>18.932959532237252</v>
      </c>
    </row>
    <row r="236" spans="1:15" x14ac:dyDescent="0.35">
      <c r="A236">
        <f t="shared" si="11"/>
        <v>2008.5</v>
      </c>
      <c r="B236" s="7">
        <v>0</v>
      </c>
      <c r="C236" s="7">
        <v>0</v>
      </c>
      <c r="D236" s="7">
        <v>0</v>
      </c>
      <c r="E236" s="7">
        <v>0</v>
      </c>
      <c r="F236" s="7">
        <f>DATA!E236</f>
        <v>0.16887625603905196</v>
      </c>
      <c r="G236" s="7">
        <f t="shared" si="9"/>
        <v>16.887625603905196</v>
      </c>
      <c r="H236" s="7">
        <f>DATA!F236</f>
        <v>0.18708696460596316</v>
      </c>
      <c r="I236" s="7">
        <f t="shared" si="10"/>
        <v>18.708696460596315</v>
      </c>
    </row>
    <row r="237" spans="1:15" x14ac:dyDescent="0.35">
      <c r="A237">
        <f t="shared" si="11"/>
        <v>2008.75</v>
      </c>
      <c r="B237" s="7">
        <v>0</v>
      </c>
      <c r="C237" s="7">
        <v>0</v>
      </c>
      <c r="D237" s="7">
        <v>0</v>
      </c>
      <c r="E237" s="7">
        <v>0</v>
      </c>
      <c r="F237" s="7">
        <f>DATA!E237</f>
        <v>0.16891365979642217</v>
      </c>
      <c r="G237" s="7">
        <f t="shared" si="9"/>
        <v>16.891365979642217</v>
      </c>
      <c r="H237" s="7">
        <f>DATA!F237</f>
        <v>0.19445868924170853</v>
      </c>
      <c r="I237" s="7">
        <f t="shared" si="10"/>
        <v>19.445868924170853</v>
      </c>
    </row>
    <row r="238" spans="1:15" x14ac:dyDescent="0.35">
      <c r="A238">
        <f t="shared" si="11"/>
        <v>2009</v>
      </c>
      <c r="B238" s="7">
        <v>0</v>
      </c>
      <c r="C238" s="7">
        <v>0</v>
      </c>
      <c r="D238" s="7">
        <v>0</v>
      </c>
      <c r="E238" s="7">
        <v>0</v>
      </c>
      <c r="F238" s="7">
        <f>DATA!E238</f>
        <v>0.17135974342371221</v>
      </c>
      <c r="G238" s="7">
        <f t="shared" si="9"/>
        <v>17.13597434237122</v>
      </c>
      <c r="H238" s="7">
        <f>DATA!F238</f>
        <v>0.19742860743318383</v>
      </c>
      <c r="I238" s="7">
        <f t="shared" si="10"/>
        <v>19.742860743318381</v>
      </c>
    </row>
    <row r="239" spans="1:15" x14ac:dyDescent="0.35">
      <c r="A239">
        <f t="shared" si="11"/>
        <v>2009.25</v>
      </c>
      <c r="B239" s="7">
        <v>0</v>
      </c>
      <c r="C239" s="7">
        <v>0</v>
      </c>
      <c r="D239" s="7">
        <v>0</v>
      </c>
      <c r="E239" s="7">
        <v>0</v>
      </c>
      <c r="F239" s="7">
        <f>DATA!E239</f>
        <v>0.17090179111255466</v>
      </c>
      <c r="G239" s="7">
        <f t="shared" si="9"/>
        <v>17.090179111255466</v>
      </c>
      <c r="H239" s="7">
        <f>DATA!F239</f>
        <v>0.19768961548854388</v>
      </c>
      <c r="I239" s="7">
        <f t="shared" si="10"/>
        <v>19.768961548854389</v>
      </c>
    </row>
    <row r="240" spans="1:15" x14ac:dyDescent="0.35">
      <c r="A240">
        <f t="shared" si="11"/>
        <v>2009.5</v>
      </c>
      <c r="B240" s="7">
        <v>0</v>
      </c>
      <c r="C240" s="7">
        <v>0</v>
      </c>
      <c r="D240" s="7">
        <v>0</v>
      </c>
      <c r="E240" s="7">
        <v>0</v>
      </c>
      <c r="F240" s="7">
        <f>DATA!E240</f>
        <v>0.17161258221537617</v>
      </c>
      <c r="G240" s="7">
        <f t="shared" si="9"/>
        <v>17.161258221537619</v>
      </c>
      <c r="H240" s="7">
        <f>DATA!F240</f>
        <v>0.20294860820819366</v>
      </c>
      <c r="I240" s="7">
        <f t="shared" si="10"/>
        <v>20.294860820819366</v>
      </c>
    </row>
    <row r="241" spans="1:9" x14ac:dyDescent="0.35">
      <c r="A241">
        <f t="shared" si="11"/>
        <v>2009.75</v>
      </c>
      <c r="B241" s="7">
        <v>0</v>
      </c>
      <c r="C241" s="7">
        <v>0</v>
      </c>
      <c r="D241" s="7">
        <v>0</v>
      </c>
      <c r="E241" s="7">
        <v>0</v>
      </c>
      <c r="F241" s="7">
        <f>DATA!E241</f>
        <v>0.17364800270124986</v>
      </c>
      <c r="G241" s="7">
        <f t="shared" si="9"/>
        <v>17.364800270124984</v>
      </c>
      <c r="H241" s="7">
        <f>DATA!F241</f>
        <v>0.19550985837206172</v>
      </c>
      <c r="I241" s="7">
        <f t="shared" si="10"/>
        <v>19.550985837206174</v>
      </c>
    </row>
    <row r="242" spans="1:9" x14ac:dyDescent="0.35">
      <c r="A242">
        <f t="shared" si="11"/>
        <v>2010</v>
      </c>
      <c r="B242" s="7">
        <v>0</v>
      </c>
      <c r="C242" s="7">
        <v>0</v>
      </c>
      <c r="D242" s="7">
        <v>0</v>
      </c>
      <c r="E242" s="7">
        <v>0</v>
      </c>
      <c r="F242" s="7">
        <f>DATA!E242</f>
        <v>0.17610386877685885</v>
      </c>
      <c r="G242" s="7">
        <f t="shared" si="9"/>
        <v>17.610386877685887</v>
      </c>
      <c r="H242" s="7">
        <f>DATA!F242</f>
        <v>0.20317420647704124</v>
      </c>
      <c r="I242" s="7">
        <f t="shared" si="10"/>
        <v>20.317420647704125</v>
      </c>
    </row>
    <row r="243" spans="1:9" x14ac:dyDescent="0.35">
      <c r="A243" s="1">
        <f t="shared" si="11"/>
        <v>2010.25</v>
      </c>
      <c r="B243" s="7">
        <v>0</v>
      </c>
      <c r="C243" s="9">
        <v>-0.11192286276298376</v>
      </c>
      <c r="D243" s="7">
        <v>0</v>
      </c>
      <c r="E243" s="7">
        <v>0.76149999999999995</v>
      </c>
      <c r="F243" s="7">
        <f>DATA!E243</f>
        <v>0.17535751576776204</v>
      </c>
      <c r="G243" s="7">
        <f t="shared" si="9"/>
        <v>17.535751576776203</v>
      </c>
      <c r="H243" s="7">
        <f>DATA!F243</f>
        <v>0.19168462772378744</v>
      </c>
      <c r="I243" s="7">
        <f t="shared" si="10"/>
        <v>19.168462772378746</v>
      </c>
    </row>
    <row r="244" spans="1:9" x14ac:dyDescent="0.35">
      <c r="A244">
        <f t="shared" si="11"/>
        <v>2010.5</v>
      </c>
      <c r="B244" s="7">
        <v>0</v>
      </c>
      <c r="C244" s="7">
        <v>0</v>
      </c>
      <c r="D244" s="7">
        <v>0</v>
      </c>
      <c r="E244" s="7">
        <v>0</v>
      </c>
      <c r="F244" s="7">
        <f>DATA!E244</f>
        <v>0.17575912439844982</v>
      </c>
      <c r="G244" s="7">
        <f t="shared" si="9"/>
        <v>17.575912439844981</v>
      </c>
      <c r="H244" s="7">
        <f>DATA!F244</f>
        <v>0.18266760414713182</v>
      </c>
      <c r="I244" s="7">
        <f t="shared" si="10"/>
        <v>18.266760414713183</v>
      </c>
    </row>
    <row r="245" spans="1:9" x14ac:dyDescent="0.35">
      <c r="A245">
        <f t="shared" si="11"/>
        <v>2010.75</v>
      </c>
      <c r="B245" s="7">
        <v>0</v>
      </c>
      <c r="C245" s="7">
        <v>0</v>
      </c>
      <c r="D245" s="7">
        <v>0</v>
      </c>
      <c r="E245" s="7">
        <v>0</v>
      </c>
      <c r="F245" s="7">
        <f>DATA!E245</f>
        <v>0.17602226654130293</v>
      </c>
      <c r="G245" s="7">
        <f t="shared" si="9"/>
        <v>17.602226654130291</v>
      </c>
      <c r="H245" s="7">
        <f>DATA!F245</f>
        <v>0.17151052522155694</v>
      </c>
      <c r="I245" s="7">
        <f t="shared" si="10"/>
        <v>17.151052522155695</v>
      </c>
    </row>
    <row r="246" spans="1:9" x14ac:dyDescent="0.35">
      <c r="A246">
        <f t="shared" si="11"/>
        <v>2011</v>
      </c>
      <c r="B246" s="7">
        <v>0</v>
      </c>
      <c r="C246" s="7">
        <v>0</v>
      </c>
      <c r="D246" s="7">
        <v>0</v>
      </c>
      <c r="E246" s="7">
        <v>0</v>
      </c>
      <c r="F246" s="7">
        <f>DATA!E246</f>
        <v>0.17568593078136041</v>
      </c>
      <c r="G246" s="7">
        <f t="shared" si="9"/>
        <v>17.56859307813604</v>
      </c>
      <c r="H246" s="7">
        <f>DATA!F246</f>
        <v>0.15507301976704499</v>
      </c>
      <c r="I246" s="7">
        <f t="shared" si="10"/>
        <v>15.507301976704499</v>
      </c>
    </row>
    <row r="247" spans="1:9" x14ac:dyDescent="0.35">
      <c r="A247">
        <f t="shared" si="11"/>
        <v>2011.25</v>
      </c>
      <c r="B247" s="7">
        <v>0</v>
      </c>
      <c r="C247" s="7">
        <v>0</v>
      </c>
      <c r="D247" s="7">
        <v>0</v>
      </c>
      <c r="E247" s="7">
        <v>0</v>
      </c>
      <c r="F247" s="7">
        <f>DATA!E247</f>
        <v>0.17039965580132393</v>
      </c>
      <c r="G247" s="7">
        <f t="shared" si="9"/>
        <v>17.039965580132392</v>
      </c>
      <c r="H247" s="7">
        <f>DATA!F247</f>
        <v>0.14460647451003114</v>
      </c>
      <c r="I247" s="7">
        <f t="shared" si="10"/>
        <v>14.460647451003114</v>
      </c>
    </row>
    <row r="248" spans="1:9" x14ac:dyDescent="0.35">
      <c r="A248">
        <f t="shared" si="11"/>
        <v>2011.5</v>
      </c>
      <c r="B248" s="7">
        <v>0</v>
      </c>
      <c r="C248" s="7">
        <v>0</v>
      </c>
      <c r="D248" s="7">
        <v>0</v>
      </c>
      <c r="E248" s="7">
        <v>0</v>
      </c>
      <c r="F248" s="7">
        <f>DATA!E248</f>
        <v>0.17159920554087593</v>
      </c>
      <c r="G248" s="7">
        <f t="shared" si="9"/>
        <v>17.159920554087591</v>
      </c>
      <c r="H248" s="7">
        <f>DATA!F248</f>
        <v>0.14133025276392686</v>
      </c>
      <c r="I248" s="7">
        <f t="shared" si="10"/>
        <v>14.133025276392686</v>
      </c>
    </row>
    <row r="249" spans="1:9" x14ac:dyDescent="0.35">
      <c r="A249">
        <f t="shared" si="11"/>
        <v>2011.75</v>
      </c>
      <c r="B249" s="7">
        <v>0</v>
      </c>
      <c r="C249" s="7">
        <v>0</v>
      </c>
      <c r="D249" s="7">
        <v>0</v>
      </c>
      <c r="E249" s="7">
        <v>0</v>
      </c>
      <c r="F249" s="7">
        <f>DATA!E249</f>
        <v>0.17042360192923184</v>
      </c>
      <c r="G249" s="7">
        <f t="shared" si="9"/>
        <v>17.042360192923184</v>
      </c>
      <c r="H249" s="7">
        <f>DATA!F249</f>
        <v>0.14303939642491276</v>
      </c>
      <c r="I249" s="7">
        <f t="shared" si="10"/>
        <v>14.303939642491276</v>
      </c>
    </row>
    <row r="250" spans="1:9" x14ac:dyDescent="0.35">
      <c r="A250">
        <f t="shared" si="11"/>
        <v>2012</v>
      </c>
      <c r="B250" s="7">
        <v>0</v>
      </c>
      <c r="C250" s="7">
        <v>0</v>
      </c>
      <c r="D250" s="7">
        <v>0</v>
      </c>
      <c r="E250" s="7">
        <v>0</v>
      </c>
      <c r="F250" s="7">
        <f>DATA!E250</f>
        <v>0.1544563816891964</v>
      </c>
      <c r="G250" s="7">
        <f t="shared" si="9"/>
        <v>15.44563816891964</v>
      </c>
      <c r="H250" s="7">
        <f>DATA!F250</f>
        <v>9.7820646473534376E-2</v>
      </c>
      <c r="I250" s="7">
        <f t="shared" si="10"/>
        <v>9.7820646473534367</v>
      </c>
    </row>
    <row r="251" spans="1:9" x14ac:dyDescent="0.35">
      <c r="A251">
        <f t="shared" si="11"/>
        <v>2012.25</v>
      </c>
      <c r="B251" s="7">
        <v>0</v>
      </c>
      <c r="C251" s="7">
        <v>0</v>
      </c>
      <c r="D251" s="7">
        <v>0</v>
      </c>
      <c r="E251" s="7">
        <v>0</v>
      </c>
      <c r="F251" s="7">
        <f>DATA!E251</f>
        <v>0.14917217802025776</v>
      </c>
      <c r="G251" s="7">
        <f t="shared" si="9"/>
        <v>14.917217802025776</v>
      </c>
      <c r="H251" s="7">
        <f>DATA!F251</f>
        <v>0.10239373657843498</v>
      </c>
      <c r="I251" s="7">
        <f t="shared" si="10"/>
        <v>10.239373657843498</v>
      </c>
    </row>
    <row r="252" spans="1:9" x14ac:dyDescent="0.35">
      <c r="A252">
        <f t="shared" si="11"/>
        <v>2012.5</v>
      </c>
      <c r="B252" s="7">
        <v>0</v>
      </c>
      <c r="C252" s="7">
        <v>0</v>
      </c>
      <c r="D252" s="7">
        <v>0</v>
      </c>
      <c r="E252" s="7">
        <v>0</v>
      </c>
      <c r="F252" s="7">
        <f>DATA!E252</f>
        <v>0.14852889176055564</v>
      </c>
      <c r="G252" s="7">
        <f t="shared" si="9"/>
        <v>14.852889176055564</v>
      </c>
      <c r="H252" s="7">
        <f>DATA!F252</f>
        <v>0.1026168249568197</v>
      </c>
      <c r="I252" s="7">
        <f t="shared" si="10"/>
        <v>10.261682495681971</v>
      </c>
    </row>
    <row r="253" spans="1:9" x14ac:dyDescent="0.35">
      <c r="A253">
        <f t="shared" si="11"/>
        <v>2012.75</v>
      </c>
      <c r="B253" s="7">
        <v>0</v>
      </c>
      <c r="C253" s="7">
        <v>0</v>
      </c>
      <c r="D253" s="7">
        <v>0</v>
      </c>
      <c r="E253" s="7">
        <v>0</v>
      </c>
      <c r="F253" s="7">
        <f>DATA!E253</f>
        <v>0.14792103438564824</v>
      </c>
      <c r="G253" s="7">
        <f t="shared" si="9"/>
        <v>14.792103438564824</v>
      </c>
      <c r="H253" s="7">
        <f>DATA!F253</f>
        <v>0.1118916474530383</v>
      </c>
      <c r="I253" s="7">
        <f t="shared" si="10"/>
        <v>11.189164745303829</v>
      </c>
    </row>
    <row r="254" spans="1:9" x14ac:dyDescent="0.35">
      <c r="A254">
        <f t="shared" si="11"/>
        <v>2013</v>
      </c>
      <c r="B254" s="7">
        <v>0.3214387468434472</v>
      </c>
      <c r="C254" s="7">
        <v>0</v>
      </c>
      <c r="D254" s="7">
        <v>0.5696</v>
      </c>
      <c r="E254" s="7">
        <v>0</v>
      </c>
      <c r="F254" s="7">
        <f>DATA!E254</f>
        <v>0.15088170012067012</v>
      </c>
      <c r="G254" s="7">
        <f t="shared" si="9"/>
        <v>15.088170012067012</v>
      </c>
      <c r="H254" s="7">
        <f>DATA!F254</f>
        <v>0.11455976540967965</v>
      </c>
      <c r="I254" s="7">
        <f t="shared" si="10"/>
        <v>11.455976540967965</v>
      </c>
    </row>
    <row r="255" spans="1:9" x14ac:dyDescent="0.35">
      <c r="A255">
        <f t="shared" si="11"/>
        <v>2013.25</v>
      </c>
      <c r="B255" s="7">
        <v>0</v>
      </c>
      <c r="C255" s="7">
        <v>0</v>
      </c>
      <c r="D255" s="7">
        <v>0</v>
      </c>
      <c r="E255" s="7">
        <v>0</v>
      </c>
      <c r="F255" s="7">
        <f>DATA!E255</f>
        <v>0.15161933933126728</v>
      </c>
      <c r="G255" s="7">
        <f t="shared" si="9"/>
        <v>15.161933933126729</v>
      </c>
      <c r="H255" s="7">
        <f>DATA!F255</f>
        <v>0.11923802137339369</v>
      </c>
      <c r="I255" s="7">
        <f t="shared" si="10"/>
        <v>11.923802137339369</v>
      </c>
    </row>
    <row r="256" spans="1:9" x14ac:dyDescent="0.35">
      <c r="A256">
        <f t="shared" si="11"/>
        <v>2013.5</v>
      </c>
      <c r="B256" s="7">
        <v>0</v>
      </c>
      <c r="C256" s="7">
        <v>0</v>
      </c>
      <c r="D256" s="7">
        <v>0</v>
      </c>
      <c r="E256" s="7">
        <v>0</v>
      </c>
      <c r="F256" s="7">
        <f>DATA!E256</f>
        <v>0.15204303101675878</v>
      </c>
      <c r="G256" s="7">
        <f t="shared" si="9"/>
        <v>15.204303101675878</v>
      </c>
      <c r="H256" s="7">
        <f>DATA!F256</f>
        <v>0.12084653393170133</v>
      </c>
      <c r="I256" s="7">
        <f t="shared" si="10"/>
        <v>12.084653393170134</v>
      </c>
    </row>
    <row r="257" spans="1:9" x14ac:dyDescent="0.35">
      <c r="A257">
        <f t="shared" si="11"/>
        <v>2013.75</v>
      </c>
      <c r="B257" s="7">
        <v>0</v>
      </c>
      <c r="C257" s="7">
        <v>0</v>
      </c>
      <c r="D257" s="7">
        <v>0</v>
      </c>
      <c r="E257" s="7">
        <v>0</v>
      </c>
      <c r="F257" s="7">
        <f>DATA!E257</f>
        <v>0.15190188339186839</v>
      </c>
      <c r="G257" s="7">
        <f t="shared" si="9"/>
        <v>15.19018833918684</v>
      </c>
      <c r="H257" s="7">
        <f>DATA!F257</f>
        <v>0.12354764261204014</v>
      </c>
      <c r="I257" s="7">
        <f t="shared" si="10"/>
        <v>12.354764261204014</v>
      </c>
    </row>
    <row r="258" spans="1:9" x14ac:dyDescent="0.35">
      <c r="A258">
        <f t="shared" si="11"/>
        <v>2014</v>
      </c>
      <c r="B258" s="7">
        <v>0</v>
      </c>
      <c r="C258" s="7">
        <v>0</v>
      </c>
      <c r="D258" s="7">
        <v>0</v>
      </c>
      <c r="E258" s="7">
        <v>0</v>
      </c>
      <c r="F258" s="7">
        <f>DATA!E258</f>
        <v>0.15219505508850711</v>
      </c>
      <c r="G258" s="7">
        <f t="shared" ref="G258:G321" si="12">F258*100</f>
        <v>15.219505508850711</v>
      </c>
      <c r="H258" s="7">
        <f>DATA!F258</f>
        <v>0.13083418698666471</v>
      </c>
      <c r="I258" s="7">
        <f t="shared" si="10"/>
        <v>13.08341869866647</v>
      </c>
    </row>
    <row r="259" spans="1:9" x14ac:dyDescent="0.35">
      <c r="A259">
        <f t="shared" si="11"/>
        <v>2014.25</v>
      </c>
      <c r="B259" s="7">
        <v>0</v>
      </c>
      <c r="C259" s="7">
        <v>0</v>
      </c>
      <c r="D259" s="7">
        <v>0</v>
      </c>
      <c r="E259" s="7">
        <v>0</v>
      </c>
      <c r="F259" s="7">
        <f>DATA!E259</f>
        <v>0.1523275992022646</v>
      </c>
      <c r="G259" s="7">
        <f t="shared" si="12"/>
        <v>15.23275992022646</v>
      </c>
      <c r="H259" s="7">
        <f>DATA!F259</f>
        <v>0.12521352422035756</v>
      </c>
      <c r="I259" s="7">
        <f t="shared" ref="I259:I281" si="13">H259*100</f>
        <v>12.521352422035756</v>
      </c>
    </row>
    <row r="260" spans="1:9" x14ac:dyDescent="0.35">
      <c r="A260">
        <f t="shared" ref="A260:A279" si="14">A259+0.25</f>
        <v>2014.5</v>
      </c>
      <c r="B260" s="7">
        <v>0</v>
      </c>
      <c r="C260" s="7">
        <v>0</v>
      </c>
      <c r="D260" s="7">
        <v>0</v>
      </c>
      <c r="E260" s="7">
        <v>0</v>
      </c>
      <c r="F260" s="7">
        <f>DATA!E260</f>
        <v>0.15276969425380912</v>
      </c>
      <c r="G260" s="7">
        <f t="shared" si="12"/>
        <v>15.276969425380912</v>
      </c>
      <c r="H260" s="7">
        <f>DATA!F260</f>
        <v>0.11233814035279194</v>
      </c>
      <c r="I260" s="7">
        <f t="shared" si="13"/>
        <v>11.233814035279194</v>
      </c>
    </row>
    <row r="261" spans="1:9" x14ac:dyDescent="0.35">
      <c r="A261">
        <f t="shared" si="14"/>
        <v>2014.75</v>
      </c>
      <c r="B261" s="7">
        <v>0</v>
      </c>
      <c r="C261" s="7">
        <v>0</v>
      </c>
      <c r="D261" s="7">
        <v>0</v>
      </c>
      <c r="E261" s="7">
        <v>0</v>
      </c>
      <c r="F261" s="7">
        <f>DATA!E261</f>
        <v>0.15131029291517376</v>
      </c>
      <c r="G261" s="7">
        <f t="shared" si="12"/>
        <v>15.131029291517375</v>
      </c>
      <c r="H261" s="7">
        <f>DATA!F261</f>
        <v>0.12439444504252341</v>
      </c>
      <c r="I261" s="7">
        <f t="shared" si="13"/>
        <v>12.439444504252341</v>
      </c>
    </row>
    <row r="262" spans="1:9" x14ac:dyDescent="0.35">
      <c r="A262">
        <f t="shared" si="14"/>
        <v>2015</v>
      </c>
      <c r="B262" s="7">
        <v>0</v>
      </c>
      <c r="C262" s="7">
        <v>0</v>
      </c>
      <c r="D262" s="7">
        <v>0</v>
      </c>
      <c r="E262" s="7">
        <v>0</v>
      </c>
      <c r="F262" s="7">
        <f>DATA!E262</f>
        <v>0.14950889135462947</v>
      </c>
      <c r="G262" s="7">
        <f t="shared" si="12"/>
        <v>14.950889135462948</v>
      </c>
      <c r="H262" s="7">
        <f>DATA!F262</f>
        <v>0.11888673576952502</v>
      </c>
      <c r="I262" s="7">
        <f t="shared" si="13"/>
        <v>11.888673576952502</v>
      </c>
    </row>
    <row r="263" spans="1:9" x14ac:dyDescent="0.35">
      <c r="A263">
        <f t="shared" si="14"/>
        <v>2015.25</v>
      </c>
      <c r="B263" s="7">
        <v>0</v>
      </c>
      <c r="C263" s="7">
        <v>0</v>
      </c>
      <c r="D263" s="7">
        <v>0</v>
      </c>
      <c r="E263" s="7">
        <v>0</v>
      </c>
      <c r="F263" s="7">
        <f>DATA!E263</f>
        <v>0.14902048406022483</v>
      </c>
      <c r="G263" s="7">
        <f t="shared" si="12"/>
        <v>14.902048406022484</v>
      </c>
      <c r="H263" s="7">
        <f>DATA!F263</f>
        <v>0.12898897508919788</v>
      </c>
      <c r="I263" s="7">
        <f t="shared" si="13"/>
        <v>12.898897508919788</v>
      </c>
    </row>
    <row r="264" spans="1:9" x14ac:dyDescent="0.35">
      <c r="A264">
        <f t="shared" si="14"/>
        <v>2015.5</v>
      </c>
      <c r="B264" s="7">
        <v>0</v>
      </c>
      <c r="C264" s="7">
        <v>0</v>
      </c>
      <c r="D264" s="7">
        <v>0</v>
      </c>
      <c r="E264" s="7">
        <v>0</v>
      </c>
      <c r="F264" s="7">
        <f>DATA!E264</f>
        <v>0.15042578451104111</v>
      </c>
      <c r="G264" s="7">
        <f t="shared" si="12"/>
        <v>15.042578451104111</v>
      </c>
      <c r="H264" s="7">
        <f>DATA!F264</f>
        <v>0.13000526376460556</v>
      </c>
      <c r="I264" s="7">
        <f t="shared" si="13"/>
        <v>13.000526376460556</v>
      </c>
    </row>
    <row r="265" spans="1:9" x14ac:dyDescent="0.35">
      <c r="A265">
        <f t="shared" si="14"/>
        <v>2015.75</v>
      </c>
      <c r="B265" s="7">
        <v>0</v>
      </c>
      <c r="C265" s="7">
        <v>0</v>
      </c>
      <c r="D265" s="7">
        <v>0</v>
      </c>
      <c r="E265" s="7">
        <v>0</v>
      </c>
      <c r="F265" s="7">
        <f>DATA!E265</f>
        <v>0.15032908002012976</v>
      </c>
      <c r="G265" s="7">
        <f t="shared" si="12"/>
        <v>15.032908002012976</v>
      </c>
      <c r="H265" s="7">
        <f>DATA!F265</f>
        <v>0.13198447711266781</v>
      </c>
      <c r="I265" s="7">
        <f t="shared" si="13"/>
        <v>13.19844771126678</v>
      </c>
    </row>
    <row r="266" spans="1:9" x14ac:dyDescent="0.35">
      <c r="A266">
        <f t="shared" si="14"/>
        <v>2016</v>
      </c>
      <c r="B266" s="7">
        <v>0</v>
      </c>
      <c r="C266" s="7">
        <v>0</v>
      </c>
      <c r="D266" s="7">
        <v>0</v>
      </c>
      <c r="E266" s="7">
        <v>0</v>
      </c>
      <c r="F266" s="7">
        <f>DATA!E266</f>
        <v>0.16740152364833344</v>
      </c>
      <c r="G266" s="7">
        <f t="shared" si="12"/>
        <v>16.740152364833342</v>
      </c>
      <c r="H266" s="7">
        <f>DATA!F266</f>
        <v>0.13963705395109666</v>
      </c>
      <c r="I266" s="7">
        <f t="shared" si="13"/>
        <v>13.963705395109665</v>
      </c>
    </row>
    <row r="267" spans="1:9" x14ac:dyDescent="0.35">
      <c r="A267">
        <f t="shared" si="14"/>
        <v>2016.25</v>
      </c>
      <c r="B267" s="7">
        <v>0</v>
      </c>
      <c r="C267" s="7">
        <v>0</v>
      </c>
      <c r="D267" s="7">
        <v>0</v>
      </c>
      <c r="E267" s="7">
        <v>0</v>
      </c>
      <c r="F267" s="7">
        <f>DATA!E267</f>
        <v>0.16830145933358001</v>
      </c>
      <c r="G267" s="7">
        <f t="shared" si="12"/>
        <v>16.830145933358001</v>
      </c>
      <c r="H267" s="7">
        <f>DATA!F267</f>
        <v>0.13864571260227709</v>
      </c>
      <c r="I267" s="7">
        <f t="shared" si="13"/>
        <v>13.864571260227709</v>
      </c>
    </row>
    <row r="268" spans="1:9" x14ac:dyDescent="0.35">
      <c r="A268">
        <f t="shared" si="14"/>
        <v>2016.5</v>
      </c>
      <c r="B268" s="7">
        <v>0</v>
      </c>
      <c r="C268" s="7">
        <v>0</v>
      </c>
      <c r="D268" s="7">
        <v>0</v>
      </c>
      <c r="E268" s="7">
        <v>0</v>
      </c>
      <c r="F268" s="7">
        <f>DATA!E268</f>
        <v>0.16826436607873546</v>
      </c>
      <c r="G268" s="7">
        <f t="shared" si="12"/>
        <v>16.826436607873546</v>
      </c>
      <c r="H268" s="7">
        <f>DATA!F268</f>
        <v>0.13958637503418292</v>
      </c>
      <c r="I268" s="7">
        <f t="shared" si="13"/>
        <v>13.958637503418291</v>
      </c>
    </row>
    <row r="269" spans="1:9" x14ac:dyDescent="0.35">
      <c r="A269">
        <f t="shared" si="14"/>
        <v>2016.75</v>
      </c>
      <c r="B269" s="7">
        <v>0</v>
      </c>
      <c r="C269" s="7">
        <v>0</v>
      </c>
      <c r="D269" s="7">
        <v>0</v>
      </c>
      <c r="E269" s="7">
        <v>0</v>
      </c>
      <c r="F269" s="7">
        <f>DATA!E269</f>
        <v>0.16940178053736502</v>
      </c>
      <c r="G269" s="7">
        <f t="shared" si="12"/>
        <v>16.940178053736503</v>
      </c>
      <c r="H269" s="7">
        <f>DATA!F269</f>
        <v>0.13700954247074679</v>
      </c>
      <c r="I269" s="7">
        <f t="shared" si="13"/>
        <v>13.700954247074678</v>
      </c>
    </row>
    <row r="270" spans="1:9" x14ac:dyDescent="0.35">
      <c r="A270">
        <f t="shared" si="14"/>
        <v>2017</v>
      </c>
      <c r="B270" s="7">
        <v>0</v>
      </c>
      <c r="C270" s="7">
        <v>0</v>
      </c>
      <c r="D270" s="7">
        <v>0</v>
      </c>
      <c r="E270" s="7">
        <v>0</v>
      </c>
      <c r="F270" s="7">
        <f>DATA!E270</f>
        <v>0.17028613305742377</v>
      </c>
      <c r="G270" s="7">
        <f t="shared" si="12"/>
        <v>17.028613305742375</v>
      </c>
      <c r="H270" s="7">
        <f>DATA!F270</f>
        <v>0.15493843165953355</v>
      </c>
      <c r="I270" s="7">
        <f t="shared" si="13"/>
        <v>15.493843165953356</v>
      </c>
    </row>
    <row r="271" spans="1:9" x14ac:dyDescent="0.35">
      <c r="A271">
        <f t="shared" si="14"/>
        <v>2017.25</v>
      </c>
      <c r="B271" s="7">
        <v>0</v>
      </c>
      <c r="C271" s="7">
        <v>0</v>
      </c>
      <c r="D271" s="7">
        <v>0</v>
      </c>
      <c r="E271" s="7">
        <v>0</v>
      </c>
      <c r="F271" s="7">
        <f>DATA!E271</f>
        <v>0.16906606834961935</v>
      </c>
      <c r="G271" s="7">
        <f t="shared" si="12"/>
        <v>16.906606834961934</v>
      </c>
      <c r="H271" s="7">
        <f>DATA!F271</f>
        <v>0.15713407724662454</v>
      </c>
      <c r="I271" s="7">
        <f t="shared" si="13"/>
        <v>15.713407724662453</v>
      </c>
    </row>
    <row r="272" spans="1:9" x14ac:dyDescent="0.35">
      <c r="A272">
        <f t="shared" si="14"/>
        <v>2017.5</v>
      </c>
      <c r="B272" s="7">
        <v>0</v>
      </c>
      <c r="C272" s="7">
        <v>0</v>
      </c>
      <c r="D272" s="7">
        <v>0</v>
      </c>
      <c r="E272" s="7">
        <v>0</v>
      </c>
      <c r="F272" s="7">
        <f>DATA!E272</f>
        <v>0.16891429284414053</v>
      </c>
      <c r="G272" s="7">
        <f t="shared" si="12"/>
        <v>16.891429284414052</v>
      </c>
      <c r="H272" s="7">
        <f>DATA!F272</f>
        <v>0.14255009964869245</v>
      </c>
      <c r="I272" s="7">
        <f t="shared" si="13"/>
        <v>14.255009964869245</v>
      </c>
    </row>
    <row r="273" spans="1:9" x14ac:dyDescent="0.35">
      <c r="A273">
        <f t="shared" si="14"/>
        <v>2017.75</v>
      </c>
      <c r="B273" s="7">
        <v>0</v>
      </c>
      <c r="C273" s="7">
        <v>0</v>
      </c>
      <c r="D273" s="7">
        <v>0</v>
      </c>
      <c r="E273" s="7">
        <v>0</v>
      </c>
      <c r="F273" s="7">
        <f>DATA!E273</f>
        <v>0.16974939371343448</v>
      </c>
      <c r="G273" s="7">
        <f t="shared" si="12"/>
        <v>16.974939371343449</v>
      </c>
      <c r="H273" s="7">
        <f>DATA!F273</f>
        <v>0.14565748193294764</v>
      </c>
      <c r="I273" s="7">
        <f t="shared" si="13"/>
        <v>14.565748193294764</v>
      </c>
    </row>
    <row r="274" spans="1:9" x14ac:dyDescent="0.35">
      <c r="A274">
        <f t="shared" si="14"/>
        <v>2018</v>
      </c>
      <c r="B274" s="7">
        <v>-0.41474484300415587</v>
      </c>
      <c r="C274" s="7">
        <v>-3.3089291351210353</v>
      </c>
      <c r="D274" s="7">
        <v>-0.16650000000000001</v>
      </c>
      <c r="E274" s="7">
        <v>-2.4355000000000002</v>
      </c>
      <c r="F274" s="7">
        <f>DATA!E274</f>
        <v>0.17286995109155012</v>
      </c>
      <c r="G274" s="7">
        <f t="shared" si="12"/>
        <v>17.286995109155011</v>
      </c>
      <c r="H274" s="7">
        <f>DATA!F274</f>
        <v>0.15829027540600743</v>
      </c>
      <c r="I274" s="7">
        <f t="shared" si="13"/>
        <v>15.829027540600743</v>
      </c>
    </row>
    <row r="275" spans="1:9" x14ac:dyDescent="0.35">
      <c r="A275">
        <f t="shared" si="14"/>
        <v>2018.25</v>
      </c>
      <c r="B275" s="7">
        <v>0</v>
      </c>
      <c r="C275" s="7">
        <v>0</v>
      </c>
      <c r="D275" s="7">
        <v>0</v>
      </c>
      <c r="E275" s="7">
        <v>0</v>
      </c>
      <c r="F275" s="7">
        <f>DATA!E275</f>
        <v>0.1732424110496521</v>
      </c>
      <c r="G275" s="7">
        <f t="shared" si="12"/>
        <v>17.324241104965211</v>
      </c>
      <c r="H275" s="7">
        <f>DATA!F275</f>
        <v>0.1589107017150721</v>
      </c>
      <c r="I275" s="7">
        <f t="shared" si="13"/>
        <v>15.891070171507209</v>
      </c>
    </row>
    <row r="276" spans="1:9" x14ac:dyDescent="0.35">
      <c r="A276">
        <f t="shared" si="14"/>
        <v>2018.5</v>
      </c>
      <c r="B276" s="7">
        <v>0</v>
      </c>
      <c r="C276" s="7">
        <v>0</v>
      </c>
      <c r="D276" s="7">
        <v>0</v>
      </c>
      <c r="E276" s="7">
        <v>0</v>
      </c>
      <c r="F276" s="7">
        <f>DATA!E276</f>
        <v>0.17341064270619361</v>
      </c>
      <c r="G276" s="7">
        <f t="shared" si="12"/>
        <v>17.341064270619359</v>
      </c>
      <c r="H276" s="7">
        <f>DATA!F276</f>
        <v>0.1525145109151568</v>
      </c>
      <c r="I276" s="7">
        <f t="shared" si="13"/>
        <v>15.25145109151568</v>
      </c>
    </row>
    <row r="277" spans="1:9" x14ac:dyDescent="0.35">
      <c r="A277">
        <f t="shared" si="14"/>
        <v>2018.75</v>
      </c>
      <c r="B277" s="7">
        <v>0</v>
      </c>
      <c r="C277" s="7">
        <v>0</v>
      </c>
      <c r="D277" s="7">
        <v>0</v>
      </c>
      <c r="E277" s="7">
        <v>0</v>
      </c>
      <c r="F277" s="7">
        <f>DATA!E277</f>
        <v>0.17362776320660261</v>
      </c>
      <c r="G277" s="7">
        <f t="shared" si="12"/>
        <v>17.362776320660263</v>
      </c>
      <c r="H277" s="7">
        <f>DATA!F277</f>
        <v>0.14812294488045355</v>
      </c>
      <c r="I277" s="7">
        <f t="shared" si="13"/>
        <v>14.812294488045355</v>
      </c>
    </row>
    <row r="278" spans="1:9" x14ac:dyDescent="0.35">
      <c r="A278">
        <f t="shared" si="14"/>
        <v>2019</v>
      </c>
      <c r="B278" s="7">
        <v>0</v>
      </c>
      <c r="C278" s="7">
        <v>0</v>
      </c>
      <c r="D278" s="7">
        <v>0</v>
      </c>
      <c r="E278" s="7">
        <v>0</v>
      </c>
      <c r="F278" s="7">
        <f>DATA!E278</f>
        <v>0.1716419949743008</v>
      </c>
      <c r="G278" s="7">
        <f t="shared" si="12"/>
        <v>17.164199497430079</v>
      </c>
      <c r="H278" s="7">
        <f>DATA!F278</f>
        <v>0.14994014866299835</v>
      </c>
      <c r="I278" s="7">
        <f t="shared" si="13"/>
        <v>14.994014866299835</v>
      </c>
    </row>
    <row r="279" spans="1:9" x14ac:dyDescent="0.35">
      <c r="A279">
        <f t="shared" si="14"/>
        <v>2019.25</v>
      </c>
      <c r="B279" s="7">
        <v>0</v>
      </c>
      <c r="C279" s="7">
        <v>0</v>
      </c>
      <c r="D279" s="7">
        <v>0</v>
      </c>
      <c r="E279" s="7">
        <v>0</v>
      </c>
      <c r="F279" s="7">
        <f>DATA!E279</f>
        <v>0.17173914551435249</v>
      </c>
      <c r="G279" s="7">
        <f t="shared" si="12"/>
        <v>17.173914551435249</v>
      </c>
      <c r="H279" s="7">
        <f>DATA!F279</f>
        <v>0.1474922706652094</v>
      </c>
      <c r="I279" s="7">
        <f t="shared" si="13"/>
        <v>14.749227066520939</v>
      </c>
    </row>
    <row r="280" spans="1:9" x14ac:dyDescent="0.35">
      <c r="A280">
        <v>2019.5</v>
      </c>
      <c r="B280" s="7">
        <v>0</v>
      </c>
      <c r="C280" s="7">
        <v>0</v>
      </c>
      <c r="D280" s="7">
        <v>0</v>
      </c>
      <c r="E280" s="7">
        <v>0</v>
      </c>
      <c r="F280" s="7">
        <f>DATA!E280</f>
        <v>0.17188731493048942</v>
      </c>
      <c r="G280" s="7">
        <f t="shared" si="12"/>
        <v>17.188731493048941</v>
      </c>
      <c r="H280" s="7">
        <f>DATA!F280</f>
        <v>0.15049883331338998</v>
      </c>
      <c r="I280" s="7">
        <f t="shared" si="13"/>
        <v>15.049883331338998</v>
      </c>
    </row>
    <row r="281" spans="1:9" x14ac:dyDescent="0.35">
      <c r="A281">
        <v>2019.75</v>
      </c>
      <c r="B281" s="7">
        <v>0</v>
      </c>
      <c r="C281" s="7">
        <v>0</v>
      </c>
      <c r="D281" s="7">
        <v>0</v>
      </c>
      <c r="E281" s="7">
        <v>0</v>
      </c>
      <c r="F281" s="7">
        <f>DATA!E281</f>
        <v>0.17226475153785267</v>
      </c>
      <c r="G281" s="7">
        <f t="shared" si="12"/>
        <v>17.226475153785266</v>
      </c>
      <c r="H281" s="7">
        <f>DATA!F281</f>
        <v>0.13689893037572107</v>
      </c>
      <c r="I281" s="7">
        <f t="shared" si="13"/>
        <v>13.689893037572107</v>
      </c>
    </row>
    <row r="284" spans="1:9" x14ac:dyDescent="0.35">
      <c r="B284" s="20" t="s">
        <v>25</v>
      </c>
      <c r="C284" s="19"/>
    </row>
    <row r="285" spans="1:9" x14ac:dyDescent="0.35">
      <c r="B285" s="7">
        <f>CORREL(B2:B229,C2:C229)</f>
        <v>0.47911218150008106</v>
      </c>
    </row>
    <row r="286" spans="1:9" x14ac:dyDescent="0.35">
      <c r="B286" s="20" t="s">
        <v>26</v>
      </c>
      <c r="C286" s="19"/>
    </row>
    <row r="287" spans="1:9" x14ac:dyDescent="0.35">
      <c r="B287" s="7">
        <f>CORREL(B2:B281,C2:C281)</f>
        <v>0.50008011888232096</v>
      </c>
    </row>
  </sheetData>
  <mergeCells count="2">
    <mergeCell ref="B284:C284"/>
    <mergeCell ref="B286:C28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93"/>
  <sheetViews>
    <sheetView workbookViewId="0">
      <pane xSplit="1" ySplit="1" topLeftCell="B29" activePane="bottomRight" state="frozen"/>
      <selection pane="topRight" activeCell="B1" sqref="B1"/>
      <selection pane="bottomLeft" activeCell="A3" sqref="A3"/>
      <selection pane="bottomRight" activeCell="E1" sqref="E1"/>
    </sheetView>
  </sheetViews>
  <sheetFormatPr defaultRowHeight="14.5" x14ac:dyDescent="0.35"/>
  <cols>
    <col min="1" max="1" width="20.7265625" customWidth="1"/>
    <col min="2" max="2" width="22.26953125" style="1" customWidth="1"/>
    <col min="3" max="3" width="20.7265625" style="1" customWidth="1"/>
    <col min="4" max="4" width="21.453125" style="1" customWidth="1"/>
    <col min="5" max="6" width="20.7265625" style="1" customWidth="1"/>
    <col min="7" max="8" width="20.7265625" customWidth="1"/>
    <col min="9" max="9" width="17.54296875" bestFit="1" customWidth="1"/>
    <col min="10" max="11" width="17.26953125" customWidth="1"/>
    <col min="12" max="255" width="20.7265625" customWidth="1"/>
  </cols>
  <sheetData>
    <row r="1" spans="1:11" s="2" customFormat="1" ht="130.5" x14ac:dyDescent="0.35">
      <c r="A1" s="15"/>
      <c r="B1" s="16" t="s">
        <v>47</v>
      </c>
      <c r="C1" s="16" t="s">
        <v>48</v>
      </c>
      <c r="D1" s="16" t="s">
        <v>41</v>
      </c>
      <c r="E1" s="16" t="s">
        <v>39</v>
      </c>
      <c r="F1" s="16" t="s">
        <v>40</v>
      </c>
      <c r="G1" s="17" t="s">
        <v>42</v>
      </c>
      <c r="H1" s="17" t="s">
        <v>43</v>
      </c>
      <c r="I1" s="18" t="s">
        <v>44</v>
      </c>
      <c r="J1" s="17" t="s">
        <v>45</v>
      </c>
      <c r="K1" s="18" t="s">
        <v>46</v>
      </c>
    </row>
    <row r="2" spans="1:11" x14ac:dyDescent="0.35">
      <c r="A2" s="3">
        <v>17168</v>
      </c>
      <c r="B2" s="4">
        <v>243.16399999999999</v>
      </c>
      <c r="C2" s="4">
        <v>33.466000000000001</v>
      </c>
      <c r="D2" s="4">
        <v>189.71299999999999</v>
      </c>
      <c r="E2" s="21">
        <f>(I2+J2)/D2</f>
        <v>0.12842556914918851</v>
      </c>
      <c r="F2" s="12">
        <f>K2/C2</f>
        <v>0.32498655351700229</v>
      </c>
      <c r="G2" s="13">
        <v>189.71299999999999</v>
      </c>
      <c r="H2" s="14">
        <v>7.7119999999999997</v>
      </c>
      <c r="I2" s="14">
        <v>18.192</v>
      </c>
      <c r="J2" s="14">
        <v>6.1719999999999997</v>
      </c>
      <c r="K2" s="14">
        <v>10.875999999999999</v>
      </c>
    </row>
    <row r="3" spans="1:11" x14ac:dyDescent="0.35">
      <c r="A3" s="3">
        <v>17258</v>
      </c>
      <c r="B3" s="4">
        <v>245.96799999999999</v>
      </c>
      <c r="C3" s="4">
        <v>31.667999999999999</v>
      </c>
      <c r="D3" s="4">
        <v>189.72</v>
      </c>
      <c r="E3" s="21">
        <f>(I3+J3)/D3</f>
        <v>0.12793590554501369</v>
      </c>
      <c r="F3" s="12">
        <f>K3/C3</f>
        <v>0.3251231527093596</v>
      </c>
      <c r="G3" s="13">
        <v>189.72</v>
      </c>
      <c r="H3" s="14">
        <v>7.2960000000000003</v>
      </c>
      <c r="I3" s="14">
        <v>18.488</v>
      </c>
      <c r="J3" s="14">
        <v>5.7839999999999998</v>
      </c>
      <c r="K3" s="14">
        <v>10.295999999999999</v>
      </c>
    </row>
    <row r="4" spans="1:11" x14ac:dyDescent="0.35">
      <c r="A4" s="3">
        <v>17349</v>
      </c>
      <c r="B4" s="4">
        <v>249.58500000000001</v>
      </c>
      <c r="C4" s="4">
        <v>31.288</v>
      </c>
      <c r="D4" s="4">
        <v>197.768</v>
      </c>
      <c r="E4" s="21">
        <f>(I4+J4)/D4</f>
        <v>0.11979693378099592</v>
      </c>
      <c r="F4" s="12">
        <f>K4/C4</f>
        <v>0.32421375607261571</v>
      </c>
      <c r="G4" s="13">
        <v>197.768</v>
      </c>
      <c r="H4" s="14">
        <v>10.68</v>
      </c>
      <c r="I4" s="14">
        <v>18.704000000000001</v>
      </c>
      <c r="J4" s="14">
        <v>4.9880000000000004</v>
      </c>
      <c r="K4" s="14">
        <v>10.144</v>
      </c>
    </row>
    <row r="5" spans="1:11" x14ac:dyDescent="0.35">
      <c r="A5" s="3">
        <v>17441</v>
      </c>
      <c r="B5" s="4">
        <v>259.745</v>
      </c>
      <c r="C5" s="4">
        <v>34.122999999999998</v>
      </c>
      <c r="D5" s="4">
        <v>200.715</v>
      </c>
      <c r="E5" s="21">
        <f>(I5+J5)/D5</f>
        <v>0.12156540368183742</v>
      </c>
      <c r="F5" s="12">
        <f>K5/C5</f>
        <v>0.32353544530082351</v>
      </c>
      <c r="G5" s="13">
        <v>200.715</v>
      </c>
      <c r="H5" s="14">
        <v>7.8440000000000003</v>
      </c>
      <c r="I5" s="14">
        <v>19.788</v>
      </c>
      <c r="J5" s="14">
        <v>4.6120000000000001</v>
      </c>
      <c r="K5" s="14">
        <v>11.04</v>
      </c>
    </row>
    <row r="6" spans="1:11" x14ac:dyDescent="0.35">
      <c r="A6" s="3">
        <v>17533</v>
      </c>
      <c r="B6" s="4">
        <v>265.74200000000002</v>
      </c>
      <c r="C6" s="4">
        <v>35.747</v>
      </c>
      <c r="D6" s="4">
        <v>206.49299999999999</v>
      </c>
      <c r="E6" s="21">
        <f>(I6+J6)/D6</f>
        <v>0.11963601671727371</v>
      </c>
      <c r="F6" s="12">
        <f>K6/C6</f>
        <v>0.31756511035891127</v>
      </c>
      <c r="G6" s="13">
        <v>206.49299999999999</v>
      </c>
      <c r="H6" s="14">
        <v>7.4720000000000004</v>
      </c>
      <c r="I6" s="14">
        <v>20.059999999999999</v>
      </c>
      <c r="J6" s="14">
        <v>4.6440000000000001</v>
      </c>
      <c r="K6" s="14">
        <v>11.352</v>
      </c>
    </row>
    <row r="7" spans="1:11" x14ac:dyDescent="0.35">
      <c r="A7" s="3">
        <v>17624</v>
      </c>
      <c r="B7" s="4">
        <v>272.56700000000001</v>
      </c>
      <c r="C7" s="4">
        <v>37.588999999999999</v>
      </c>
      <c r="D7" s="4">
        <v>211.97399999999999</v>
      </c>
      <c r="E7" s="21">
        <f>(I7+J7)/D7</f>
        <v>0.10452225272910828</v>
      </c>
      <c r="F7" s="12">
        <f>K7/C7</f>
        <v>0.31807177631753969</v>
      </c>
      <c r="G7" s="13">
        <v>211.97399999999999</v>
      </c>
      <c r="H7" s="14">
        <v>7.2439999999999998</v>
      </c>
      <c r="I7" s="14">
        <v>17.808</v>
      </c>
      <c r="J7" s="14">
        <v>4.3479999999999999</v>
      </c>
      <c r="K7" s="14">
        <v>11.956</v>
      </c>
    </row>
    <row r="8" spans="1:11" x14ac:dyDescent="0.35">
      <c r="A8" s="3">
        <v>17715</v>
      </c>
      <c r="B8" s="4">
        <v>279.19600000000003</v>
      </c>
      <c r="C8" s="4">
        <v>36.959000000000003</v>
      </c>
      <c r="D8" s="4">
        <v>217.423</v>
      </c>
      <c r="E8" s="21">
        <f>(I8+J8)/D8</f>
        <v>9.8793595893718694E-2</v>
      </c>
      <c r="F8" s="12">
        <f>K8/C8</f>
        <v>0.31732460293839115</v>
      </c>
      <c r="G8" s="13">
        <v>217.423</v>
      </c>
      <c r="H8" s="14">
        <v>7</v>
      </c>
      <c r="I8" s="14">
        <v>17.100000000000001</v>
      </c>
      <c r="J8" s="14">
        <v>4.38</v>
      </c>
      <c r="K8" s="14">
        <v>11.728</v>
      </c>
    </row>
    <row r="9" spans="1:11" x14ac:dyDescent="0.35">
      <c r="A9" s="3">
        <v>17807</v>
      </c>
      <c r="B9" s="4">
        <v>280.36599999999999</v>
      </c>
      <c r="C9" s="4">
        <v>35.712000000000003</v>
      </c>
      <c r="D9" s="4">
        <v>218.101</v>
      </c>
      <c r="E9" s="21">
        <f>(I9+J9)/D9</f>
        <v>9.8944984204565781E-2</v>
      </c>
      <c r="F9" s="12">
        <f>K9/C9</f>
        <v>0.31630824372759853</v>
      </c>
      <c r="G9" s="13">
        <v>218.101</v>
      </c>
      <c r="H9" s="14">
        <v>7.0279999999999996</v>
      </c>
      <c r="I9" s="14">
        <v>17.292000000000002</v>
      </c>
      <c r="J9" s="14">
        <v>4.2880000000000003</v>
      </c>
      <c r="K9" s="14">
        <v>11.295999999999999</v>
      </c>
    </row>
    <row r="10" spans="1:11" x14ac:dyDescent="0.35">
      <c r="A10" s="3">
        <v>17899</v>
      </c>
      <c r="B10" s="4">
        <v>275.03399999999999</v>
      </c>
      <c r="C10" s="4">
        <v>32.518999999999998</v>
      </c>
      <c r="D10" s="4">
        <v>212.023</v>
      </c>
      <c r="E10" s="21">
        <f>(I10+J10)/D10</f>
        <v>0.10115883654131863</v>
      </c>
      <c r="F10" s="12">
        <f>K10/C10</f>
        <v>0.31304775669608537</v>
      </c>
      <c r="G10" s="13">
        <v>212.023</v>
      </c>
      <c r="H10" s="14">
        <v>7.6760000000000002</v>
      </c>
      <c r="I10" s="14">
        <v>16.472000000000001</v>
      </c>
      <c r="J10" s="14">
        <v>4.976</v>
      </c>
      <c r="K10" s="14">
        <v>10.18</v>
      </c>
    </row>
    <row r="11" spans="1:11" x14ac:dyDescent="0.35">
      <c r="A11" s="3">
        <v>17989</v>
      </c>
      <c r="B11" s="4">
        <v>271.351</v>
      </c>
      <c r="C11" s="4">
        <v>28.692</v>
      </c>
      <c r="D11" s="4">
        <v>210.989</v>
      </c>
      <c r="E11" s="21">
        <f>(I11+J11)/D11</f>
        <v>9.7294171734071441E-2</v>
      </c>
      <c r="F11" s="12">
        <f>K11/C11</f>
        <v>0.31172452251498678</v>
      </c>
      <c r="G11" s="13">
        <v>210.989</v>
      </c>
      <c r="H11" s="14">
        <v>8.1519999999999992</v>
      </c>
      <c r="I11" s="14">
        <v>15.648</v>
      </c>
      <c r="J11" s="14">
        <v>4.88</v>
      </c>
      <c r="K11" s="14">
        <v>8.9440000000000008</v>
      </c>
    </row>
    <row r="12" spans="1:11" x14ac:dyDescent="0.35">
      <c r="A12" s="3">
        <v>18080</v>
      </c>
      <c r="B12" s="4">
        <v>272.88900000000001</v>
      </c>
      <c r="C12" s="4">
        <v>29.751999999999999</v>
      </c>
      <c r="D12" s="4">
        <v>210.411</v>
      </c>
      <c r="E12" s="21">
        <f>(I12+J12)/D12</f>
        <v>9.2827846452894575E-2</v>
      </c>
      <c r="F12" s="12">
        <f>K12/C12</f>
        <v>0.3137940306534015</v>
      </c>
      <c r="G12" s="13">
        <v>210.411</v>
      </c>
      <c r="H12" s="14">
        <v>8.4719999999999995</v>
      </c>
      <c r="I12" s="14">
        <v>14.932</v>
      </c>
      <c r="J12" s="14">
        <v>4.5999999999999996</v>
      </c>
      <c r="K12" s="14">
        <v>9.3360000000000003</v>
      </c>
    </row>
    <row r="13" spans="1:11" x14ac:dyDescent="0.35">
      <c r="A13" s="3">
        <v>18172</v>
      </c>
      <c r="B13" s="4">
        <v>270.62700000000001</v>
      </c>
      <c r="C13" s="4">
        <v>29.204999999999998</v>
      </c>
      <c r="D13" s="4">
        <v>210.86199999999999</v>
      </c>
      <c r="E13" s="21">
        <f>(I13+J13)/D13</f>
        <v>8.9062989063937559E-2</v>
      </c>
      <c r="F13" s="12">
        <f>K13/C13</f>
        <v>0.31364492381441539</v>
      </c>
      <c r="G13" s="13">
        <v>210.86199999999999</v>
      </c>
      <c r="H13" s="14">
        <v>8.5</v>
      </c>
      <c r="I13" s="14">
        <v>14.452</v>
      </c>
      <c r="J13" s="14">
        <v>4.3280000000000003</v>
      </c>
      <c r="K13" s="14">
        <v>9.16</v>
      </c>
    </row>
    <row r="14" spans="1:11" x14ac:dyDescent="0.35">
      <c r="A14" s="3">
        <v>18264</v>
      </c>
      <c r="B14" s="4">
        <v>280.82799999999997</v>
      </c>
      <c r="C14" s="4">
        <v>33.476999999999997</v>
      </c>
      <c r="D14" s="4">
        <v>226.32</v>
      </c>
      <c r="E14" s="21">
        <f>(I14+J14)/D14</f>
        <v>8.9483916578296227E-2</v>
      </c>
      <c r="F14" s="12">
        <f>K14/C14</f>
        <v>0.38402485288406968</v>
      </c>
      <c r="G14" s="13">
        <v>226.32</v>
      </c>
      <c r="H14" s="14">
        <v>16.588000000000001</v>
      </c>
      <c r="I14" s="14">
        <v>15.156000000000001</v>
      </c>
      <c r="J14" s="14">
        <v>5.0960000000000001</v>
      </c>
      <c r="K14" s="14">
        <v>12.856</v>
      </c>
    </row>
    <row r="15" spans="1:11" x14ac:dyDescent="0.35">
      <c r="A15" s="3">
        <v>18354</v>
      </c>
      <c r="B15" s="4">
        <v>290.38299999999998</v>
      </c>
      <c r="C15" s="4">
        <v>39.923000000000002</v>
      </c>
      <c r="D15" s="4">
        <v>227.66399999999999</v>
      </c>
      <c r="E15" s="21">
        <f>(I15+J15)/D15</f>
        <v>9.317239440579099E-2</v>
      </c>
      <c r="F15" s="12">
        <f>K15/C15</f>
        <v>0.38594294015980762</v>
      </c>
      <c r="G15" s="13">
        <v>227.66399999999999</v>
      </c>
      <c r="H15" s="14">
        <v>9.5879999999999992</v>
      </c>
      <c r="I15" s="14">
        <v>16.12</v>
      </c>
      <c r="J15" s="14">
        <v>5.0919999999999996</v>
      </c>
      <c r="K15" s="14">
        <v>15.407999999999999</v>
      </c>
    </row>
    <row r="16" spans="1:11" x14ac:dyDescent="0.35">
      <c r="A16" s="3">
        <v>18445</v>
      </c>
      <c r="B16" s="4">
        <v>308.15300000000002</v>
      </c>
      <c r="C16" s="4">
        <v>48.500999999999998</v>
      </c>
      <c r="D16" s="4">
        <v>236.06</v>
      </c>
      <c r="E16" s="21">
        <f>(I16+J16)/D16</f>
        <v>9.6178937558247898E-2</v>
      </c>
      <c r="F16" s="12">
        <f>K16/C16</f>
        <v>0.38894043421785124</v>
      </c>
      <c r="G16" s="13">
        <v>236.06</v>
      </c>
      <c r="H16" s="14">
        <v>7.1920000000000002</v>
      </c>
      <c r="I16" s="14">
        <v>17.431999999999999</v>
      </c>
      <c r="J16" s="14">
        <v>5.2720000000000002</v>
      </c>
      <c r="K16" s="14">
        <v>18.864000000000001</v>
      </c>
    </row>
    <row r="17" spans="1:11" x14ac:dyDescent="0.35">
      <c r="A17" s="3">
        <v>18537</v>
      </c>
      <c r="B17" s="4">
        <v>319.94499999999999</v>
      </c>
      <c r="C17" s="4">
        <v>53.220999999999997</v>
      </c>
      <c r="D17" s="4">
        <v>244.89599999999999</v>
      </c>
      <c r="E17" s="21">
        <f>(I17+J17)/D17</f>
        <v>0.10860120214295048</v>
      </c>
      <c r="F17" s="12">
        <f>K17/C17</f>
        <v>0.38901937205238535</v>
      </c>
      <c r="G17" s="13">
        <v>244.89599999999999</v>
      </c>
      <c r="H17" s="14">
        <v>7.54</v>
      </c>
      <c r="I17" s="14">
        <v>21.02</v>
      </c>
      <c r="J17" s="14">
        <v>5.5759999999999996</v>
      </c>
      <c r="K17" s="14">
        <v>20.704000000000001</v>
      </c>
    </row>
    <row r="18" spans="1:11" x14ac:dyDescent="0.35">
      <c r="A18" s="3">
        <v>18629</v>
      </c>
      <c r="B18" s="4">
        <v>336</v>
      </c>
      <c r="C18" s="4">
        <v>52.393000000000001</v>
      </c>
      <c r="D18" s="4">
        <v>254.14</v>
      </c>
      <c r="E18" s="21">
        <f>(I18+J18)/D18</f>
        <v>0.11473990713779807</v>
      </c>
      <c r="F18" s="12">
        <f>K18/C18</f>
        <v>0.47754471017120609</v>
      </c>
      <c r="G18" s="13">
        <v>254.14</v>
      </c>
      <c r="H18" s="14">
        <v>7.54</v>
      </c>
      <c r="I18" s="14">
        <v>22.78</v>
      </c>
      <c r="J18" s="14">
        <v>6.38</v>
      </c>
      <c r="K18" s="14">
        <v>25.02</v>
      </c>
    </row>
    <row r="19" spans="1:11" x14ac:dyDescent="0.35">
      <c r="A19" s="3">
        <v>18719</v>
      </c>
      <c r="B19" s="4">
        <v>344.09</v>
      </c>
      <c r="C19" s="4">
        <v>44.593000000000004</v>
      </c>
      <c r="D19" s="4">
        <v>263.10899999999998</v>
      </c>
      <c r="E19" s="21">
        <f>(I19+J19)/D19</f>
        <v>0.1184452071194828</v>
      </c>
      <c r="F19" s="12">
        <f>K19/C19</f>
        <v>0.47388603592492096</v>
      </c>
      <c r="G19" s="13">
        <v>263.10899999999998</v>
      </c>
      <c r="H19" s="14">
        <v>7.8959999999999999</v>
      </c>
      <c r="I19" s="14">
        <v>24.707999999999998</v>
      </c>
      <c r="J19" s="14">
        <v>6.4560000000000004</v>
      </c>
      <c r="K19" s="14">
        <v>21.132000000000001</v>
      </c>
    </row>
    <row r="20" spans="1:11" x14ac:dyDescent="0.35">
      <c r="A20" s="3">
        <v>18810</v>
      </c>
      <c r="B20" s="4">
        <v>351.38499999999999</v>
      </c>
      <c r="C20" s="4">
        <v>40.665999999999997</v>
      </c>
      <c r="D20" s="4">
        <v>267.548</v>
      </c>
      <c r="E20" s="21">
        <f>(I20+J20)/D20</f>
        <v>0.12111471586406923</v>
      </c>
      <c r="F20" s="12">
        <f>K20/C20</f>
        <v>0.46967983081689874</v>
      </c>
      <c r="G20" s="13">
        <v>267.548</v>
      </c>
      <c r="H20" s="14">
        <v>8.1</v>
      </c>
      <c r="I20" s="14">
        <v>26.096</v>
      </c>
      <c r="J20" s="14">
        <v>6.3079999999999998</v>
      </c>
      <c r="K20" s="14">
        <v>19.100000000000001</v>
      </c>
    </row>
    <row r="21" spans="1:11" x14ac:dyDescent="0.35">
      <c r="A21" s="3">
        <v>18902</v>
      </c>
      <c r="B21" s="4">
        <v>356.178</v>
      </c>
      <c r="C21" s="4">
        <v>43.868000000000002</v>
      </c>
      <c r="D21" s="4">
        <v>272.13099999999997</v>
      </c>
      <c r="E21" s="21">
        <f>(I21+J21)/D21</f>
        <v>0.12618922504235094</v>
      </c>
      <c r="F21" s="12">
        <f>K21/C21</f>
        <v>0.46576091912099932</v>
      </c>
      <c r="G21" s="13">
        <v>272.13099999999997</v>
      </c>
      <c r="H21" s="14">
        <v>8.0399999999999991</v>
      </c>
      <c r="I21" s="14">
        <v>27.916</v>
      </c>
      <c r="J21" s="14">
        <v>6.4240000000000004</v>
      </c>
      <c r="K21" s="14">
        <v>20.431999999999999</v>
      </c>
    </row>
    <row r="22" spans="1:11" x14ac:dyDescent="0.35">
      <c r="A22" s="3">
        <v>18994</v>
      </c>
      <c r="B22" s="4">
        <v>359.82</v>
      </c>
      <c r="C22" s="4">
        <v>41.59</v>
      </c>
      <c r="D22" s="4">
        <v>274.28399999999999</v>
      </c>
      <c r="E22" s="21">
        <f>(I22+J22)/D22</f>
        <v>0.13028831430196439</v>
      </c>
      <c r="F22" s="12">
        <f>K22/C22</f>
        <v>0.44924260639576818</v>
      </c>
      <c r="G22" s="13">
        <v>274.28399999999999</v>
      </c>
      <c r="H22" s="14">
        <v>7.6520000000000001</v>
      </c>
      <c r="I22" s="14">
        <v>29.06</v>
      </c>
      <c r="J22" s="14">
        <v>6.6760000000000002</v>
      </c>
      <c r="K22" s="14">
        <v>18.684000000000001</v>
      </c>
    </row>
    <row r="23" spans="1:11" x14ac:dyDescent="0.35">
      <c r="A23" s="3">
        <v>19085</v>
      </c>
      <c r="B23" s="4">
        <v>361.03</v>
      </c>
      <c r="C23" s="4">
        <v>39.667000000000002</v>
      </c>
      <c r="D23" s="4">
        <v>278.26</v>
      </c>
      <c r="E23" s="21">
        <f>(I23+J23)/D23</f>
        <v>0.13124416013800042</v>
      </c>
      <c r="F23" s="12">
        <f>K23/C23</f>
        <v>0.44308871354022233</v>
      </c>
      <c r="G23" s="13">
        <v>278.26</v>
      </c>
      <c r="H23" s="14">
        <v>7.6319999999999997</v>
      </c>
      <c r="I23" s="14">
        <v>29.968</v>
      </c>
      <c r="J23" s="14">
        <v>6.5519999999999996</v>
      </c>
      <c r="K23" s="14">
        <v>17.576000000000001</v>
      </c>
    </row>
    <row r="24" spans="1:11" x14ac:dyDescent="0.35">
      <c r="A24" s="3">
        <v>19176</v>
      </c>
      <c r="B24" s="4">
        <v>367.70100000000002</v>
      </c>
      <c r="C24" s="4">
        <v>39.898000000000003</v>
      </c>
      <c r="D24" s="4">
        <v>285.33100000000002</v>
      </c>
      <c r="E24" s="21">
        <f>(I24+J24)/D24</f>
        <v>0.12975807045151069</v>
      </c>
      <c r="F24" s="12">
        <f>K24/C24</f>
        <v>0.43901949972429688</v>
      </c>
      <c r="G24" s="13">
        <v>285.33100000000002</v>
      </c>
      <c r="H24" s="14">
        <v>8.5039999999999996</v>
      </c>
      <c r="I24" s="14">
        <v>30.428000000000001</v>
      </c>
      <c r="J24" s="14">
        <v>6.5960000000000001</v>
      </c>
      <c r="K24" s="14">
        <v>17.515999999999998</v>
      </c>
    </row>
    <row r="25" spans="1:11" x14ac:dyDescent="0.35">
      <c r="A25" s="3">
        <v>19268</v>
      </c>
      <c r="B25" s="4">
        <v>380.81200000000001</v>
      </c>
      <c r="C25" s="4">
        <v>43.972000000000001</v>
      </c>
      <c r="D25" s="4">
        <v>291.96100000000001</v>
      </c>
      <c r="E25" s="21">
        <f>(I25+J25)/D25</f>
        <v>0.13004476625302694</v>
      </c>
      <c r="F25" s="12">
        <f>K25/C25</f>
        <v>0.4400072773583189</v>
      </c>
      <c r="G25" s="13">
        <v>291.96100000000001</v>
      </c>
      <c r="H25" s="14">
        <v>8.5359999999999996</v>
      </c>
      <c r="I25" s="14">
        <v>31.212</v>
      </c>
      <c r="J25" s="14">
        <v>6.7560000000000002</v>
      </c>
      <c r="K25" s="14">
        <v>19.347999999999999</v>
      </c>
    </row>
    <row r="26" spans="1:11" x14ac:dyDescent="0.35">
      <c r="A26" s="3">
        <v>19360</v>
      </c>
      <c r="B26" s="4">
        <v>387.98</v>
      </c>
      <c r="C26" s="4">
        <v>45.893000000000001</v>
      </c>
      <c r="D26" s="4">
        <v>296.37900000000002</v>
      </c>
      <c r="E26" s="21">
        <f>(I26+J26)/D26</f>
        <v>0.12911845980990555</v>
      </c>
      <c r="F26" s="12">
        <f>K26/C26</f>
        <v>0.44494803129017502</v>
      </c>
      <c r="G26" s="13">
        <v>296.37900000000002</v>
      </c>
      <c r="H26" s="14">
        <v>8.5640000000000001</v>
      </c>
      <c r="I26" s="14">
        <v>31.5</v>
      </c>
      <c r="J26" s="14">
        <v>6.7679999999999998</v>
      </c>
      <c r="K26" s="14">
        <v>20.420000000000002</v>
      </c>
    </row>
    <row r="27" spans="1:11" x14ac:dyDescent="0.35">
      <c r="A27" s="3">
        <v>19450</v>
      </c>
      <c r="B27" s="4">
        <v>391.74900000000002</v>
      </c>
      <c r="C27" s="4">
        <v>46.033999999999999</v>
      </c>
      <c r="D27" s="4">
        <v>300.238</v>
      </c>
      <c r="E27" s="21">
        <f>(I27+J27)/D27</f>
        <v>0.12773866066254105</v>
      </c>
      <c r="F27" s="12">
        <f>K27/C27</f>
        <v>0.44549680670808534</v>
      </c>
      <c r="G27" s="13">
        <v>300.238</v>
      </c>
      <c r="H27" s="14">
        <v>8.4280000000000008</v>
      </c>
      <c r="I27" s="14">
        <v>31.515999999999998</v>
      </c>
      <c r="J27" s="14">
        <v>6.8360000000000003</v>
      </c>
      <c r="K27" s="14">
        <v>20.507999999999999</v>
      </c>
    </row>
    <row r="28" spans="1:11" x14ac:dyDescent="0.35">
      <c r="A28" s="3">
        <v>19541</v>
      </c>
      <c r="B28" s="4">
        <v>391.17099999999999</v>
      </c>
      <c r="C28" s="4">
        <v>45.076999999999998</v>
      </c>
      <c r="D28" s="4">
        <v>300.14400000000001</v>
      </c>
      <c r="E28" s="21">
        <f>(I28+J28)/D28</f>
        <v>0.12692574231035769</v>
      </c>
      <c r="F28" s="12">
        <f>K28/C28</f>
        <v>0.4443951460833685</v>
      </c>
      <c r="G28" s="13">
        <v>300.14400000000001</v>
      </c>
      <c r="H28" s="14">
        <v>8.5960000000000001</v>
      </c>
      <c r="I28" s="14">
        <v>31.236000000000001</v>
      </c>
      <c r="J28" s="14">
        <v>6.86</v>
      </c>
      <c r="K28" s="14">
        <v>20.032</v>
      </c>
    </row>
    <row r="29" spans="1:11" x14ac:dyDescent="0.35">
      <c r="A29" s="3">
        <v>19633</v>
      </c>
      <c r="B29" s="4">
        <v>385.97</v>
      </c>
      <c r="C29" s="4">
        <v>35.591000000000001</v>
      </c>
      <c r="D29" s="4">
        <v>300.14800000000002</v>
      </c>
      <c r="E29" s="21">
        <f>(I29+J29)/D29</f>
        <v>0.12563135519810226</v>
      </c>
      <c r="F29" s="12">
        <f>K29/C29</f>
        <v>0.43775111685538476</v>
      </c>
      <c r="G29" s="13">
        <v>300.14800000000002</v>
      </c>
      <c r="H29" s="14">
        <v>9.2200000000000006</v>
      </c>
      <c r="I29" s="14">
        <v>30.972000000000001</v>
      </c>
      <c r="J29" s="14">
        <v>6.7359999999999998</v>
      </c>
      <c r="K29" s="14">
        <v>15.58</v>
      </c>
    </row>
    <row r="30" spans="1:11" x14ac:dyDescent="0.35">
      <c r="A30" s="3">
        <v>19725</v>
      </c>
      <c r="B30" s="4">
        <v>385.34500000000003</v>
      </c>
      <c r="C30" s="4">
        <v>38.018999999999998</v>
      </c>
      <c r="D30" s="4">
        <v>300.12700000000001</v>
      </c>
      <c r="E30" s="21">
        <f>(I30+J30)/D30</f>
        <v>0.11958937383174456</v>
      </c>
      <c r="F30" s="12">
        <f>K30/C30</f>
        <v>0.40442936426523579</v>
      </c>
      <c r="G30" s="13">
        <v>300.12700000000001</v>
      </c>
      <c r="H30" s="14">
        <v>9.8919999999999995</v>
      </c>
      <c r="I30" s="14">
        <v>28.14</v>
      </c>
      <c r="J30" s="14">
        <v>7.7519999999999998</v>
      </c>
      <c r="K30" s="14">
        <v>15.375999999999999</v>
      </c>
    </row>
    <row r="31" spans="1:11" x14ac:dyDescent="0.35">
      <c r="A31" s="3">
        <v>19815</v>
      </c>
      <c r="B31" s="4">
        <v>386.12099999999998</v>
      </c>
      <c r="C31" s="4">
        <v>39.140999999999998</v>
      </c>
      <c r="D31" s="4">
        <v>299.79700000000003</v>
      </c>
      <c r="E31" s="21">
        <f>(I31+J31)/D31</f>
        <v>0.11873367645440082</v>
      </c>
      <c r="F31" s="12">
        <f>K31/C31</f>
        <v>0.40550829053933218</v>
      </c>
      <c r="G31" s="13">
        <v>299.79700000000003</v>
      </c>
      <c r="H31" s="14">
        <v>10.523999999999999</v>
      </c>
      <c r="I31" s="14">
        <v>27.888000000000002</v>
      </c>
      <c r="J31" s="14">
        <v>7.7080000000000002</v>
      </c>
      <c r="K31" s="14">
        <v>15.872</v>
      </c>
    </row>
    <row r="32" spans="1:11" x14ac:dyDescent="0.35">
      <c r="A32" s="3">
        <v>19906</v>
      </c>
      <c r="B32" s="4">
        <v>390.99599999999998</v>
      </c>
      <c r="C32" s="4">
        <v>41.472999999999999</v>
      </c>
      <c r="D32" s="4">
        <v>301.78300000000002</v>
      </c>
      <c r="E32" s="21">
        <f>(I32+J32)/D32</f>
        <v>0.11803183081883341</v>
      </c>
      <c r="F32" s="12">
        <f>K32/C32</f>
        <v>0.40681889422033612</v>
      </c>
      <c r="G32" s="13">
        <v>301.78300000000002</v>
      </c>
      <c r="H32" s="14">
        <v>10.856</v>
      </c>
      <c r="I32" s="14">
        <v>27.896000000000001</v>
      </c>
      <c r="J32" s="14">
        <v>7.7240000000000002</v>
      </c>
      <c r="K32" s="14">
        <v>16.872</v>
      </c>
    </row>
    <row r="33" spans="1:11" x14ac:dyDescent="0.35">
      <c r="A33" s="3">
        <v>19998</v>
      </c>
      <c r="B33" s="4">
        <v>399.73399999999998</v>
      </c>
      <c r="C33" s="4">
        <v>44.539000000000001</v>
      </c>
      <c r="D33" s="4">
        <v>307.17500000000001</v>
      </c>
      <c r="E33" s="21">
        <f>(I33+J33)/D33</f>
        <v>0.11773093513469521</v>
      </c>
      <c r="F33" s="12">
        <f>K33/C33</f>
        <v>0.40818159365948942</v>
      </c>
      <c r="G33" s="13">
        <v>307.17500000000001</v>
      </c>
      <c r="H33" s="14">
        <v>11.448</v>
      </c>
      <c r="I33" s="14">
        <v>28.347999999999999</v>
      </c>
      <c r="J33" s="14">
        <v>7.8159999999999998</v>
      </c>
      <c r="K33" s="14">
        <v>18.18</v>
      </c>
    </row>
    <row r="34" spans="1:11" x14ac:dyDescent="0.35">
      <c r="A34" s="3">
        <v>20090</v>
      </c>
      <c r="B34" s="4">
        <v>413.07299999999998</v>
      </c>
      <c r="C34" s="4">
        <v>49.715000000000003</v>
      </c>
      <c r="D34" s="4">
        <v>313.51499999999999</v>
      </c>
      <c r="E34" s="21">
        <f>(I34+J34)/D34</f>
        <v>0.11990494872653622</v>
      </c>
      <c r="F34" s="12">
        <f>K34/C34</f>
        <v>0.40623554259277883</v>
      </c>
      <c r="G34" s="13">
        <v>313.51499999999999</v>
      </c>
      <c r="H34" s="14">
        <v>11.356</v>
      </c>
      <c r="I34" s="14">
        <v>29.047999999999998</v>
      </c>
      <c r="J34" s="14">
        <v>8.5440000000000005</v>
      </c>
      <c r="K34" s="14">
        <v>20.196000000000002</v>
      </c>
    </row>
    <row r="35" spans="1:11" x14ac:dyDescent="0.35">
      <c r="A35" s="3">
        <v>20180</v>
      </c>
      <c r="B35" s="4">
        <v>421.53199999999998</v>
      </c>
      <c r="C35" s="4">
        <v>50.444000000000003</v>
      </c>
      <c r="D35" s="4">
        <v>321.06</v>
      </c>
      <c r="E35" s="21">
        <f>(I35+J35)/D35</f>
        <v>0.12076247430386845</v>
      </c>
      <c r="F35" s="12">
        <f>K35/C35</f>
        <v>0.40504321623979062</v>
      </c>
      <c r="G35" s="13">
        <v>321.06</v>
      </c>
      <c r="H35" s="14">
        <v>11.436</v>
      </c>
      <c r="I35" s="14">
        <v>30.068000000000001</v>
      </c>
      <c r="J35" s="14">
        <v>8.7040000000000006</v>
      </c>
      <c r="K35" s="14">
        <v>20.431999999999999</v>
      </c>
    </row>
    <row r="36" spans="1:11" x14ac:dyDescent="0.35">
      <c r="A36" s="3">
        <v>20271</v>
      </c>
      <c r="B36" s="4">
        <v>430.221</v>
      </c>
      <c r="C36" s="4">
        <v>51.731000000000002</v>
      </c>
      <c r="D36" s="4">
        <v>328.471</v>
      </c>
      <c r="E36" s="21">
        <f>(I36+J36)/D36</f>
        <v>0.12121618042384259</v>
      </c>
      <c r="F36" s="12">
        <f>K36/C36</f>
        <v>0.40416771374997584</v>
      </c>
      <c r="G36" s="13">
        <v>328.471</v>
      </c>
      <c r="H36" s="14">
        <v>11.603999999999999</v>
      </c>
      <c r="I36" s="14">
        <v>30.956</v>
      </c>
      <c r="J36" s="14">
        <v>8.86</v>
      </c>
      <c r="K36" s="14">
        <v>20.908000000000001</v>
      </c>
    </row>
    <row r="37" spans="1:11" x14ac:dyDescent="0.35">
      <c r="A37" s="3">
        <v>20363</v>
      </c>
      <c r="B37" s="4">
        <v>437.09199999999998</v>
      </c>
      <c r="C37" s="4">
        <v>53.871000000000002</v>
      </c>
      <c r="D37" s="4">
        <v>333.58499999999998</v>
      </c>
      <c r="E37" s="21">
        <f>(I37+J37)/D37</f>
        <v>0.12205584783488467</v>
      </c>
      <c r="F37" s="12">
        <f>K37/C37</f>
        <v>0.40370514748194763</v>
      </c>
      <c r="G37" s="13">
        <v>333.58499999999998</v>
      </c>
      <c r="H37" s="14">
        <v>11.612</v>
      </c>
      <c r="I37" s="14">
        <v>31.808</v>
      </c>
      <c r="J37" s="14">
        <v>8.9079999999999995</v>
      </c>
      <c r="K37" s="14">
        <v>21.748000000000001</v>
      </c>
    </row>
    <row r="38" spans="1:11" x14ac:dyDescent="0.35">
      <c r="A38" s="3">
        <v>20455</v>
      </c>
      <c r="B38" s="4">
        <v>439.74599999999998</v>
      </c>
      <c r="C38" s="4">
        <v>52.284999999999997</v>
      </c>
      <c r="D38" s="4">
        <v>338.983</v>
      </c>
      <c r="E38" s="21">
        <f>(I38+J38)/D38</f>
        <v>0.1245018186752728</v>
      </c>
      <c r="F38" s="12">
        <f>K38/C38</f>
        <v>0.39475949124988052</v>
      </c>
      <c r="G38" s="13">
        <v>338.983</v>
      </c>
      <c r="H38" s="14">
        <v>11.907999999999999</v>
      </c>
      <c r="I38" s="14">
        <v>32.704000000000001</v>
      </c>
      <c r="J38" s="14">
        <v>9.5</v>
      </c>
      <c r="K38" s="14">
        <v>20.64</v>
      </c>
    </row>
    <row r="39" spans="1:11" x14ac:dyDescent="0.35">
      <c r="A39" s="3">
        <v>20546</v>
      </c>
      <c r="B39" s="4">
        <v>446.01</v>
      </c>
      <c r="C39" s="4">
        <v>53.542000000000002</v>
      </c>
      <c r="D39" s="4">
        <v>344.79</v>
      </c>
      <c r="E39" s="21">
        <f>(I39+J39)/D39</f>
        <v>0.12521244815684909</v>
      </c>
      <c r="F39" s="12">
        <f>K39/C39</f>
        <v>0.39273841096709122</v>
      </c>
      <c r="G39" s="13">
        <v>344.79</v>
      </c>
      <c r="H39" s="14">
        <v>12.116</v>
      </c>
      <c r="I39" s="14">
        <v>33.572000000000003</v>
      </c>
      <c r="J39" s="14">
        <v>9.6</v>
      </c>
      <c r="K39" s="14">
        <v>21.027999999999999</v>
      </c>
    </row>
    <row r="40" spans="1:11" x14ac:dyDescent="0.35">
      <c r="A40" s="3">
        <v>20637</v>
      </c>
      <c r="B40" s="4">
        <v>451.19099999999997</v>
      </c>
      <c r="C40" s="4">
        <v>50.939</v>
      </c>
      <c r="D40" s="4">
        <v>350.08300000000003</v>
      </c>
      <c r="E40" s="21">
        <f>(I40+J40)/D40</f>
        <v>0.1251931684771897</v>
      </c>
      <c r="F40" s="12">
        <f>K40/C40</f>
        <v>0.38712970415595122</v>
      </c>
      <c r="G40" s="13">
        <v>350.08300000000003</v>
      </c>
      <c r="H40" s="14">
        <v>12.544</v>
      </c>
      <c r="I40" s="14">
        <v>34.212000000000003</v>
      </c>
      <c r="J40" s="14">
        <v>9.6159999999999997</v>
      </c>
      <c r="K40" s="14">
        <v>19.72</v>
      </c>
    </row>
    <row r="41" spans="1:11" x14ac:dyDescent="0.35">
      <c r="A41" s="3">
        <v>20729</v>
      </c>
      <c r="B41" s="4">
        <v>460.46300000000002</v>
      </c>
      <c r="C41" s="4">
        <v>53.734999999999999</v>
      </c>
      <c r="D41" s="4">
        <v>357.75099999999998</v>
      </c>
      <c r="E41" s="21">
        <f>(I41+J41)/D41</f>
        <v>0.12555101173721389</v>
      </c>
      <c r="F41" s="12">
        <f>K41/C41</f>
        <v>0.38708476784218854</v>
      </c>
      <c r="G41" s="13">
        <v>357.75099999999998</v>
      </c>
      <c r="H41" s="14">
        <v>12.632</v>
      </c>
      <c r="I41" s="14">
        <v>35.164000000000001</v>
      </c>
      <c r="J41" s="14">
        <v>9.7520000000000007</v>
      </c>
      <c r="K41" s="14">
        <v>20.8</v>
      </c>
    </row>
    <row r="42" spans="1:11" x14ac:dyDescent="0.35">
      <c r="A42" s="3">
        <v>20821</v>
      </c>
      <c r="B42" s="4">
        <v>469.779</v>
      </c>
      <c r="C42" s="4">
        <v>54.518000000000001</v>
      </c>
      <c r="D42" s="4">
        <v>362.36700000000002</v>
      </c>
      <c r="E42" s="21">
        <f>(I42+J42)/D42</f>
        <v>0.12891902408331884</v>
      </c>
      <c r="F42" s="12">
        <f>K42/C42</f>
        <v>0.38988957775413624</v>
      </c>
      <c r="G42" s="13">
        <v>362.36700000000002</v>
      </c>
      <c r="H42" s="14">
        <v>13.36</v>
      </c>
      <c r="I42" s="14">
        <v>35.712000000000003</v>
      </c>
      <c r="J42" s="14">
        <v>11.004</v>
      </c>
      <c r="K42" s="14">
        <v>21.256</v>
      </c>
    </row>
    <row r="43" spans="1:11" x14ac:dyDescent="0.35">
      <c r="A43" s="3">
        <v>20911</v>
      </c>
      <c r="B43" s="4">
        <v>472.02499999999998</v>
      </c>
      <c r="C43" s="4">
        <v>52.238999999999997</v>
      </c>
      <c r="D43" s="4">
        <v>367.11</v>
      </c>
      <c r="E43" s="21">
        <f>(I43+J43)/D43</f>
        <v>0.12833210754269839</v>
      </c>
      <c r="F43" s="12">
        <f>K43/C43</f>
        <v>0.38890484121058977</v>
      </c>
      <c r="G43" s="13">
        <v>367.11</v>
      </c>
      <c r="H43" s="14">
        <v>14.484</v>
      </c>
      <c r="I43" s="14">
        <v>36.076000000000001</v>
      </c>
      <c r="J43" s="14">
        <v>11.036</v>
      </c>
      <c r="K43" s="14">
        <v>20.315999999999999</v>
      </c>
    </row>
    <row r="44" spans="1:11" x14ac:dyDescent="0.35">
      <c r="A44" s="3">
        <v>21002</v>
      </c>
      <c r="B44" s="4">
        <v>479.49</v>
      </c>
      <c r="C44" s="4">
        <v>51.137999999999998</v>
      </c>
      <c r="D44" s="4">
        <v>371.67899999999997</v>
      </c>
      <c r="E44" s="21">
        <f>(I44+J44)/D44</f>
        <v>0.12750787642024436</v>
      </c>
      <c r="F44" s="12">
        <f>K44/C44</f>
        <v>0.38804802690758344</v>
      </c>
      <c r="G44" s="13">
        <v>371.67899999999997</v>
      </c>
      <c r="H44" s="14">
        <v>14.576000000000001</v>
      </c>
      <c r="I44" s="14">
        <v>36.292000000000002</v>
      </c>
      <c r="J44" s="14">
        <v>11.1</v>
      </c>
      <c r="K44" s="14">
        <v>19.844000000000001</v>
      </c>
    </row>
    <row r="45" spans="1:11" x14ac:dyDescent="0.35">
      <c r="A45" s="3">
        <v>21094</v>
      </c>
      <c r="B45" s="4">
        <v>474.86399999999998</v>
      </c>
      <c r="C45" s="4">
        <v>46.878</v>
      </c>
      <c r="D45" s="4">
        <v>370.77800000000002</v>
      </c>
      <c r="E45" s="21">
        <f>(I45+J45)/D45</f>
        <v>0.12627502171110475</v>
      </c>
      <c r="F45" s="12">
        <f>K45/C45</f>
        <v>0.38457272067920983</v>
      </c>
      <c r="G45" s="13">
        <v>370.77800000000002</v>
      </c>
      <c r="H45" s="14">
        <v>15.704000000000001</v>
      </c>
      <c r="I45" s="14">
        <v>35.896000000000001</v>
      </c>
      <c r="J45" s="14">
        <v>10.923999999999999</v>
      </c>
      <c r="K45" s="14">
        <v>18.027999999999999</v>
      </c>
    </row>
    <row r="46" spans="1:11" x14ac:dyDescent="0.35">
      <c r="A46" s="3">
        <v>21186</v>
      </c>
      <c r="B46" s="4">
        <v>467.54</v>
      </c>
      <c r="C46" s="4">
        <v>40.564</v>
      </c>
      <c r="D46" s="4">
        <v>371.28199999999998</v>
      </c>
      <c r="E46" s="21">
        <f>(I46+J46)/D46</f>
        <v>0.12414283482635841</v>
      </c>
      <c r="F46" s="12">
        <f>K46/C46</f>
        <v>0.38063307366137461</v>
      </c>
      <c r="G46" s="13">
        <v>371.28199999999998</v>
      </c>
      <c r="H46" s="14">
        <v>16.84</v>
      </c>
      <c r="I46" s="14">
        <v>35.155999999999999</v>
      </c>
      <c r="J46" s="14">
        <v>10.936</v>
      </c>
      <c r="K46" s="14">
        <v>15.44</v>
      </c>
    </row>
    <row r="47" spans="1:11" x14ac:dyDescent="0.35">
      <c r="A47" s="3">
        <v>21276</v>
      </c>
      <c r="B47" s="4">
        <v>471.97800000000001</v>
      </c>
      <c r="C47" s="4">
        <v>41.276000000000003</v>
      </c>
      <c r="D47" s="4">
        <v>373.72399999999999</v>
      </c>
      <c r="E47" s="21">
        <f>(I47+J47)/D47</f>
        <v>0.12181181834722951</v>
      </c>
      <c r="F47" s="12">
        <f>K47/C47</f>
        <v>0.38201376102335494</v>
      </c>
      <c r="G47" s="13">
        <v>373.72399999999999</v>
      </c>
      <c r="H47" s="14">
        <v>18.628</v>
      </c>
      <c r="I47" s="14">
        <v>34.667999999999999</v>
      </c>
      <c r="J47" s="14">
        <v>10.856</v>
      </c>
      <c r="K47" s="14">
        <v>15.768000000000001</v>
      </c>
    </row>
    <row r="48" spans="1:11" x14ac:dyDescent="0.35">
      <c r="A48" s="3">
        <v>21367</v>
      </c>
      <c r="B48" s="4">
        <v>485.84100000000001</v>
      </c>
      <c r="C48" s="4">
        <v>45.972000000000001</v>
      </c>
      <c r="D48" s="4">
        <v>382.613</v>
      </c>
      <c r="E48" s="21">
        <f>(I48+J48)/D48</f>
        <v>0.12256771202233066</v>
      </c>
      <c r="F48" s="12">
        <f>K48/C48</f>
        <v>0.38884538414687203</v>
      </c>
      <c r="G48" s="13">
        <v>382.613</v>
      </c>
      <c r="H48" s="14">
        <v>18.972000000000001</v>
      </c>
      <c r="I48" s="14">
        <v>35.868000000000002</v>
      </c>
      <c r="J48" s="14">
        <v>11.028</v>
      </c>
      <c r="K48" s="14">
        <v>17.876000000000001</v>
      </c>
    </row>
    <row r="49" spans="1:11" x14ac:dyDescent="0.35">
      <c r="A49" s="3">
        <v>21459</v>
      </c>
      <c r="B49" s="4">
        <v>499.55500000000001</v>
      </c>
      <c r="C49" s="4">
        <v>52.305999999999997</v>
      </c>
      <c r="D49" s="4">
        <v>388.18700000000001</v>
      </c>
      <c r="E49" s="21">
        <f>(I49+J49)/D49</f>
        <v>0.12206488110111879</v>
      </c>
      <c r="F49" s="12">
        <f>K49/C49</f>
        <v>0.39498336710893589</v>
      </c>
      <c r="G49" s="13">
        <v>388.18700000000001</v>
      </c>
      <c r="H49" s="14">
        <v>18.324000000000002</v>
      </c>
      <c r="I49" s="14">
        <v>36.247999999999998</v>
      </c>
      <c r="J49" s="14">
        <v>11.135999999999999</v>
      </c>
      <c r="K49" s="14">
        <v>20.66</v>
      </c>
    </row>
    <row r="50" spans="1:11" x14ac:dyDescent="0.35">
      <c r="A50" s="3">
        <v>21551</v>
      </c>
      <c r="B50" s="4">
        <v>510.33</v>
      </c>
      <c r="C50" s="4">
        <v>55.502000000000002</v>
      </c>
      <c r="D50" s="4">
        <v>393.98</v>
      </c>
      <c r="E50" s="21">
        <f>(I50+J50)/D50</f>
        <v>0.12793542819432457</v>
      </c>
      <c r="F50" s="12">
        <f>K50/C50</f>
        <v>0.38845447010918521</v>
      </c>
      <c r="G50" s="13">
        <v>393.98</v>
      </c>
      <c r="H50" s="14">
        <v>18.399999999999999</v>
      </c>
      <c r="I50" s="14">
        <v>37.152000000000001</v>
      </c>
      <c r="J50" s="14">
        <v>13.252000000000001</v>
      </c>
      <c r="K50" s="14">
        <v>21.56</v>
      </c>
    </row>
    <row r="51" spans="1:11" x14ac:dyDescent="0.35">
      <c r="A51" s="3">
        <v>21641</v>
      </c>
      <c r="B51" s="4">
        <v>522.65300000000002</v>
      </c>
      <c r="C51" s="4">
        <v>60.398000000000003</v>
      </c>
      <c r="D51" s="4">
        <v>402.363</v>
      </c>
      <c r="E51" s="21">
        <f>(I51+J51)/D51</f>
        <v>0.12870964775588215</v>
      </c>
      <c r="F51" s="12">
        <f>K51/C51</f>
        <v>0.39080764263717338</v>
      </c>
      <c r="G51" s="13">
        <v>402.363</v>
      </c>
      <c r="H51" s="14">
        <v>18.288</v>
      </c>
      <c r="I51" s="14">
        <v>38.292000000000002</v>
      </c>
      <c r="J51" s="14">
        <v>13.496</v>
      </c>
      <c r="K51" s="14">
        <v>23.603999999999999</v>
      </c>
    </row>
    <row r="52" spans="1:11" x14ac:dyDescent="0.35">
      <c r="A52" s="3">
        <v>21732</v>
      </c>
      <c r="B52" s="4">
        <v>525.03399999999999</v>
      </c>
      <c r="C52" s="4">
        <v>54.548999999999999</v>
      </c>
      <c r="D52" s="4">
        <v>404.74099999999999</v>
      </c>
      <c r="E52" s="21">
        <f>(I52+J52)/D52</f>
        <v>0.12886265537714245</v>
      </c>
      <c r="F52" s="12">
        <f>K52/C52</f>
        <v>0.38306843388513084</v>
      </c>
      <c r="G52" s="13">
        <v>404.74099999999999</v>
      </c>
      <c r="H52" s="14">
        <v>18.52</v>
      </c>
      <c r="I52" s="14">
        <v>38.712000000000003</v>
      </c>
      <c r="J52" s="14">
        <v>13.444000000000001</v>
      </c>
      <c r="K52" s="14">
        <v>20.896000000000001</v>
      </c>
    </row>
    <row r="53" spans="1:11" x14ac:dyDescent="0.35">
      <c r="A53" s="3">
        <v>21824</v>
      </c>
      <c r="B53" s="4">
        <v>528.6</v>
      </c>
      <c r="C53" s="4">
        <v>53.368000000000002</v>
      </c>
      <c r="D53" s="4">
        <v>410.36700000000002</v>
      </c>
      <c r="E53" s="21">
        <f>(I53+J53)/D53</f>
        <v>0.12964005390296979</v>
      </c>
      <c r="F53" s="12">
        <f>K53/C53</f>
        <v>0.37910358267126365</v>
      </c>
      <c r="G53" s="13">
        <v>410.36700000000002</v>
      </c>
      <c r="H53" s="14">
        <v>19.103999999999999</v>
      </c>
      <c r="I53" s="14">
        <v>39.707999999999998</v>
      </c>
      <c r="J53" s="14">
        <v>13.492000000000001</v>
      </c>
      <c r="K53" s="14">
        <v>20.231999999999999</v>
      </c>
    </row>
    <row r="54" spans="1:11" x14ac:dyDescent="0.35">
      <c r="A54" s="3">
        <v>21916</v>
      </c>
      <c r="B54" s="4">
        <v>542.64800000000002</v>
      </c>
      <c r="C54" s="4">
        <v>58.777999999999999</v>
      </c>
      <c r="D54" s="4">
        <v>416.65100000000001</v>
      </c>
      <c r="E54" s="21">
        <f>(I54+J54)/D54</f>
        <v>0.13708355434164324</v>
      </c>
      <c r="F54" s="12">
        <f>K54/C54</f>
        <v>0.38626697063527171</v>
      </c>
      <c r="G54" s="13">
        <v>416.65100000000001</v>
      </c>
      <c r="H54" s="14">
        <v>18.88</v>
      </c>
      <c r="I54" s="14">
        <v>41.14</v>
      </c>
      <c r="J54" s="14">
        <v>15.976000000000001</v>
      </c>
      <c r="K54" s="14">
        <v>22.704000000000001</v>
      </c>
    </row>
    <row r="55" spans="1:11" x14ac:dyDescent="0.35">
      <c r="A55" s="3">
        <v>22007</v>
      </c>
      <c r="B55" s="4">
        <v>541.08000000000004</v>
      </c>
      <c r="C55" s="4">
        <v>54.427999999999997</v>
      </c>
      <c r="D55" s="4">
        <v>421.74299999999999</v>
      </c>
      <c r="E55" s="21">
        <f>(I55+J55)/D55</f>
        <v>0.13711668006345099</v>
      </c>
      <c r="F55" s="12">
        <f>K55/C55</f>
        <v>0.38164180201366943</v>
      </c>
      <c r="G55" s="13">
        <v>421.74299999999999</v>
      </c>
      <c r="H55" s="14">
        <v>19.468</v>
      </c>
      <c r="I55" s="14">
        <v>41.816000000000003</v>
      </c>
      <c r="J55" s="14">
        <v>16.012</v>
      </c>
      <c r="K55" s="14">
        <v>20.771999999999998</v>
      </c>
    </row>
    <row r="56" spans="1:11" x14ac:dyDescent="0.35">
      <c r="A56" s="3">
        <v>22098</v>
      </c>
      <c r="B56" s="4">
        <v>545.60400000000004</v>
      </c>
      <c r="C56" s="4">
        <v>52.155000000000001</v>
      </c>
      <c r="D56" s="4">
        <v>424.375</v>
      </c>
      <c r="E56" s="21">
        <f>(I56+J56)/D56</f>
        <v>0.13736907216494848</v>
      </c>
      <c r="F56" s="12">
        <f>K56/C56</f>
        <v>0.38048125778928199</v>
      </c>
      <c r="G56" s="13">
        <v>424.375</v>
      </c>
      <c r="H56" s="14">
        <v>20.12</v>
      </c>
      <c r="I56" s="14">
        <v>42.264000000000003</v>
      </c>
      <c r="J56" s="14">
        <v>16.032</v>
      </c>
      <c r="K56" s="14">
        <v>19.844000000000001</v>
      </c>
    </row>
    <row r="57" spans="1:11" x14ac:dyDescent="0.35">
      <c r="A57" s="3">
        <v>22190</v>
      </c>
      <c r="B57" s="4">
        <v>540.197</v>
      </c>
      <c r="C57" s="4">
        <v>50.05</v>
      </c>
      <c r="D57" s="4">
        <v>425.78199999999998</v>
      </c>
      <c r="E57" s="21">
        <f>(I57+J57)/D57</f>
        <v>0.13632328280669451</v>
      </c>
      <c r="F57" s="12">
        <f>K57/C57</f>
        <v>0.37722277722277725</v>
      </c>
      <c r="G57" s="13">
        <v>425.78199999999998</v>
      </c>
      <c r="H57" s="14">
        <v>21</v>
      </c>
      <c r="I57" s="14">
        <v>42.131999999999998</v>
      </c>
      <c r="J57" s="14">
        <v>15.912000000000001</v>
      </c>
      <c r="K57" s="14">
        <v>18.88</v>
      </c>
    </row>
    <row r="58" spans="1:11" x14ac:dyDescent="0.35">
      <c r="A58" s="3">
        <v>22282</v>
      </c>
      <c r="B58" s="4">
        <v>545.01800000000003</v>
      </c>
      <c r="C58" s="4">
        <v>49.179000000000002</v>
      </c>
      <c r="D58" s="4">
        <v>430.16399999999999</v>
      </c>
      <c r="E58" s="21">
        <f>(I58+J58)/D58</f>
        <v>0.13580866832184935</v>
      </c>
      <c r="F58" s="12">
        <f>K58/C58</f>
        <v>0.38016226438113832</v>
      </c>
      <c r="G58" s="13">
        <v>430.16399999999999</v>
      </c>
      <c r="H58" s="14">
        <v>22.66</v>
      </c>
      <c r="I58" s="14">
        <v>42.164000000000001</v>
      </c>
      <c r="J58" s="14">
        <v>16.256</v>
      </c>
      <c r="K58" s="14">
        <v>18.696000000000002</v>
      </c>
    </row>
    <row r="59" spans="1:11" x14ac:dyDescent="0.35">
      <c r="A59" s="3">
        <v>22372</v>
      </c>
      <c r="B59" s="4">
        <v>555.54499999999996</v>
      </c>
      <c r="C59" s="4">
        <v>52.094999999999999</v>
      </c>
      <c r="D59" s="4">
        <v>436.37599999999998</v>
      </c>
      <c r="E59" s="21">
        <f>(I59+J59)/D59</f>
        <v>0.13496617595834787</v>
      </c>
      <c r="F59" s="12">
        <f>K59/C59</f>
        <v>0.38529609367501677</v>
      </c>
      <c r="G59" s="13">
        <v>436.37599999999998</v>
      </c>
      <c r="H59" s="14">
        <v>23.428000000000001</v>
      </c>
      <c r="I59" s="14">
        <v>42.46</v>
      </c>
      <c r="J59" s="14">
        <v>16.436</v>
      </c>
      <c r="K59" s="14">
        <v>20.071999999999999</v>
      </c>
    </row>
    <row r="60" spans="1:11" x14ac:dyDescent="0.35">
      <c r="A60" s="3">
        <v>22463</v>
      </c>
      <c r="B60" s="4">
        <v>567.66399999999999</v>
      </c>
      <c r="C60" s="4">
        <v>55.033000000000001</v>
      </c>
      <c r="D60" s="4">
        <v>443.43200000000002</v>
      </c>
      <c r="E60" s="21">
        <f>(I60+J60)/D60</f>
        <v>0.13378375940392212</v>
      </c>
      <c r="F60" s="12">
        <f>K60/C60</f>
        <v>0.38682245198335546</v>
      </c>
      <c r="G60" s="13">
        <v>443.43200000000002</v>
      </c>
      <c r="H60" s="14">
        <v>23.472000000000001</v>
      </c>
      <c r="I60" s="14">
        <v>42.756</v>
      </c>
      <c r="J60" s="14">
        <v>16.568000000000001</v>
      </c>
      <c r="K60" s="14">
        <v>21.288</v>
      </c>
    </row>
    <row r="61" spans="1:11" x14ac:dyDescent="0.35">
      <c r="A61" s="3">
        <v>22555</v>
      </c>
      <c r="B61" s="4">
        <v>580.61199999999997</v>
      </c>
      <c r="C61" s="4">
        <v>59.311</v>
      </c>
      <c r="D61" s="4">
        <v>452.32900000000001</v>
      </c>
      <c r="E61" s="21">
        <f>(I61+J61)/D61</f>
        <v>0.13306243906537057</v>
      </c>
      <c r="F61" s="12">
        <f>K61/C61</f>
        <v>0.39048405860632934</v>
      </c>
      <c r="G61" s="13">
        <v>452.32900000000001</v>
      </c>
      <c r="H61" s="14">
        <v>22.867999999999999</v>
      </c>
      <c r="I61" s="14">
        <v>43.396000000000001</v>
      </c>
      <c r="J61" s="14">
        <v>16.792000000000002</v>
      </c>
      <c r="K61" s="14">
        <v>23.16</v>
      </c>
    </row>
    <row r="62" spans="1:11" x14ac:dyDescent="0.35">
      <c r="A62" s="3">
        <v>22647</v>
      </c>
      <c r="B62" s="4">
        <v>594.01300000000003</v>
      </c>
      <c r="C62" s="4">
        <v>58.34</v>
      </c>
      <c r="D62" s="4">
        <v>459.33499999999998</v>
      </c>
      <c r="E62" s="21">
        <f>(I62+J62)/D62</f>
        <v>0.13697192680723219</v>
      </c>
      <c r="F62" s="12">
        <f>K62/C62</f>
        <v>0.36914638327048338</v>
      </c>
      <c r="G62" s="13">
        <v>459.33499999999998</v>
      </c>
      <c r="H62" s="14">
        <v>23.3</v>
      </c>
      <c r="I62" s="14">
        <v>44.552</v>
      </c>
      <c r="J62" s="14">
        <v>18.364000000000001</v>
      </c>
      <c r="K62" s="14">
        <v>21.536000000000001</v>
      </c>
    </row>
    <row r="63" spans="1:11" x14ac:dyDescent="0.35">
      <c r="A63" s="3">
        <v>22737</v>
      </c>
      <c r="B63" s="4">
        <v>600.36599999999999</v>
      </c>
      <c r="C63" s="4">
        <v>58.026000000000003</v>
      </c>
      <c r="D63" s="4">
        <v>466.75</v>
      </c>
      <c r="E63" s="21">
        <f>(I63+J63)/D63</f>
        <v>0.13825816818425279</v>
      </c>
      <c r="F63" s="12">
        <f>K63/C63</f>
        <v>0.36652535070485642</v>
      </c>
      <c r="G63" s="13">
        <v>466.75</v>
      </c>
      <c r="H63" s="14">
        <v>23.148</v>
      </c>
      <c r="I63" s="14">
        <v>45.963999999999999</v>
      </c>
      <c r="J63" s="14">
        <v>18.568000000000001</v>
      </c>
      <c r="K63" s="14">
        <v>21.268000000000001</v>
      </c>
    </row>
    <row r="64" spans="1:11" x14ac:dyDescent="0.35">
      <c r="A64" s="3">
        <v>22828</v>
      </c>
      <c r="B64" s="4">
        <v>609.02700000000004</v>
      </c>
      <c r="C64" s="4">
        <v>59.756999999999998</v>
      </c>
      <c r="D64" s="4">
        <v>471.49700000000001</v>
      </c>
      <c r="E64" s="21">
        <f>(I64+J64)/D64</f>
        <v>0.13966578790533132</v>
      </c>
      <c r="F64" s="12">
        <f>K64/C64</f>
        <v>0.36668507455193533</v>
      </c>
      <c r="G64" s="13">
        <v>471.49700000000001</v>
      </c>
      <c r="H64" s="14">
        <v>23.504000000000001</v>
      </c>
      <c r="I64" s="14">
        <v>47.216000000000001</v>
      </c>
      <c r="J64" s="14">
        <v>18.635999999999999</v>
      </c>
      <c r="K64" s="14">
        <v>21.911999999999999</v>
      </c>
    </row>
    <row r="65" spans="1:11" x14ac:dyDescent="0.35">
      <c r="A65" s="3">
        <v>22920</v>
      </c>
      <c r="B65" s="4">
        <v>612.28</v>
      </c>
      <c r="C65" s="4">
        <v>60.694000000000003</v>
      </c>
      <c r="D65" s="4">
        <v>477.76799999999997</v>
      </c>
      <c r="E65" s="21">
        <f>(I65+J65)/D65</f>
        <v>0.14042799015421711</v>
      </c>
      <c r="F65" s="12">
        <f>K65/C65</f>
        <v>0.3619468151711866</v>
      </c>
      <c r="G65" s="13">
        <v>477.76799999999997</v>
      </c>
      <c r="H65" s="14">
        <v>24.06</v>
      </c>
      <c r="I65" s="14">
        <v>48.384</v>
      </c>
      <c r="J65" s="14">
        <v>18.707999999999998</v>
      </c>
      <c r="K65" s="14">
        <v>21.968</v>
      </c>
    </row>
    <row r="66" spans="1:11" x14ac:dyDescent="0.35">
      <c r="A66" s="3">
        <v>23012</v>
      </c>
      <c r="B66" s="4">
        <v>621.67200000000003</v>
      </c>
      <c r="C66" s="4">
        <v>60.427999999999997</v>
      </c>
      <c r="D66" s="4">
        <v>483.20800000000003</v>
      </c>
      <c r="E66" s="21">
        <f>(I66+J66)/D66</f>
        <v>0.1439794043144981</v>
      </c>
      <c r="F66" s="12">
        <f>K66/C66</f>
        <v>0.36486397034487322</v>
      </c>
      <c r="G66" s="13">
        <v>483.20800000000003</v>
      </c>
      <c r="H66" s="14">
        <v>25.28</v>
      </c>
      <c r="I66" s="14">
        <v>48.832000000000001</v>
      </c>
      <c r="J66" s="14">
        <v>20.74</v>
      </c>
      <c r="K66" s="14">
        <v>22.047999999999998</v>
      </c>
    </row>
    <row r="67" spans="1:11" x14ac:dyDescent="0.35">
      <c r="A67" s="3">
        <v>23102</v>
      </c>
      <c r="B67" s="4">
        <v>629.75199999999995</v>
      </c>
      <c r="C67" s="4">
        <v>64.063999999999993</v>
      </c>
      <c r="D67" s="4">
        <v>488.05</v>
      </c>
      <c r="E67" s="21">
        <f>(I67+J67)/D67</f>
        <v>0.14328859747976641</v>
      </c>
      <c r="F67" s="12">
        <f>K67/C67</f>
        <v>0.36875624375624377</v>
      </c>
      <c r="G67" s="13">
        <v>488.05</v>
      </c>
      <c r="H67" s="14">
        <v>24.187999999999999</v>
      </c>
      <c r="I67" s="14">
        <v>49.008000000000003</v>
      </c>
      <c r="J67" s="14">
        <v>20.923999999999999</v>
      </c>
      <c r="K67" s="14">
        <v>23.623999999999999</v>
      </c>
    </row>
    <row r="68" spans="1:11" x14ac:dyDescent="0.35">
      <c r="A68" s="3">
        <v>23193</v>
      </c>
      <c r="B68" s="4">
        <v>644.44399999999996</v>
      </c>
      <c r="C68" s="4">
        <v>65.769000000000005</v>
      </c>
      <c r="D68" s="4">
        <v>495.19400000000002</v>
      </c>
      <c r="E68" s="21">
        <f>(I68+J68)/D68</f>
        <v>0.14178685525268883</v>
      </c>
      <c r="F68" s="12">
        <f>K68/C68</f>
        <v>0.36929252383341693</v>
      </c>
      <c r="G68" s="13">
        <v>495.19400000000002</v>
      </c>
      <c r="H68" s="14">
        <v>24.347999999999999</v>
      </c>
      <c r="I68" s="14">
        <v>49.095999999999997</v>
      </c>
      <c r="J68" s="14">
        <v>21.116</v>
      </c>
      <c r="K68" s="14">
        <v>24.288</v>
      </c>
    </row>
    <row r="69" spans="1:11" x14ac:dyDescent="0.35">
      <c r="A69" s="3">
        <v>23285</v>
      </c>
      <c r="B69" s="4">
        <v>653.93799999999999</v>
      </c>
      <c r="C69" s="4">
        <v>67.403999999999996</v>
      </c>
      <c r="D69" s="4">
        <v>504.64</v>
      </c>
      <c r="E69" s="21">
        <f>(I69+J69)/D69</f>
        <v>0.1406864299302473</v>
      </c>
      <c r="F69" s="12">
        <f>K69/C69</f>
        <v>0.36840543587917635</v>
      </c>
      <c r="G69" s="13">
        <v>504.64</v>
      </c>
      <c r="H69" s="14">
        <v>24.76</v>
      </c>
      <c r="I69" s="14">
        <v>49.616</v>
      </c>
      <c r="J69" s="14">
        <v>21.38</v>
      </c>
      <c r="K69" s="14">
        <v>24.832000000000001</v>
      </c>
    </row>
    <row r="70" spans="1:11" x14ac:dyDescent="0.35">
      <c r="A70" s="3">
        <v>23377</v>
      </c>
      <c r="B70" s="4">
        <v>669.822</v>
      </c>
      <c r="C70" s="4">
        <v>70.805000000000007</v>
      </c>
      <c r="D70" s="4">
        <v>514.14700000000005</v>
      </c>
      <c r="E70" s="21">
        <f>(I70+J70)/D70</f>
        <v>0.13491083289409447</v>
      </c>
      <c r="F70" s="12">
        <f>K70/C70</f>
        <v>0.34472141797895628</v>
      </c>
      <c r="G70" s="13">
        <v>514.14700000000005</v>
      </c>
      <c r="H70" s="14">
        <v>25.52</v>
      </c>
      <c r="I70" s="14">
        <v>47.991999999999997</v>
      </c>
      <c r="J70" s="14">
        <v>21.372</v>
      </c>
      <c r="K70" s="14">
        <v>24.408000000000001</v>
      </c>
    </row>
    <row r="71" spans="1:11" x14ac:dyDescent="0.35">
      <c r="A71" s="3">
        <v>23468</v>
      </c>
      <c r="B71" s="4">
        <v>678.67399999999998</v>
      </c>
      <c r="C71" s="4">
        <v>70.796999999999997</v>
      </c>
      <c r="D71" s="4">
        <v>523.56100000000004</v>
      </c>
      <c r="E71" s="21">
        <f>(I71+J71)/D71</f>
        <v>0.12476865159933608</v>
      </c>
      <c r="F71" s="12">
        <f>K71/C71</f>
        <v>0.34470387163297883</v>
      </c>
      <c r="G71" s="13">
        <v>523.56100000000004</v>
      </c>
      <c r="H71" s="14">
        <v>24.948</v>
      </c>
      <c r="I71" s="14">
        <v>43.723999999999997</v>
      </c>
      <c r="J71" s="14">
        <v>21.6</v>
      </c>
      <c r="K71" s="14">
        <v>24.404</v>
      </c>
    </row>
    <row r="72" spans="1:11" x14ac:dyDescent="0.35">
      <c r="A72" s="3">
        <v>23559</v>
      </c>
      <c r="B72" s="4">
        <v>692.03099999999995</v>
      </c>
      <c r="C72" s="4">
        <v>72.492000000000004</v>
      </c>
      <c r="D72" s="4">
        <v>533.16200000000003</v>
      </c>
      <c r="E72" s="21">
        <f>(I72+J72)/D72</f>
        <v>0.12601798327712777</v>
      </c>
      <c r="F72" s="12">
        <f>K72/C72</f>
        <v>0.34403796280968935</v>
      </c>
      <c r="G72" s="13">
        <v>533.16200000000003</v>
      </c>
      <c r="H72" s="14">
        <v>25.068000000000001</v>
      </c>
      <c r="I72" s="14">
        <v>45.36</v>
      </c>
      <c r="J72" s="14">
        <v>21.827999999999999</v>
      </c>
      <c r="K72" s="14">
        <v>24.94</v>
      </c>
    </row>
    <row r="73" spans="1:11" x14ac:dyDescent="0.35">
      <c r="A73" s="3">
        <v>23651</v>
      </c>
      <c r="B73" s="4">
        <v>697.31899999999996</v>
      </c>
      <c r="C73" s="4">
        <v>71.69</v>
      </c>
      <c r="D73" s="4">
        <v>541.89800000000002</v>
      </c>
      <c r="E73" s="21">
        <f>(I73+J73)/D73</f>
        <v>0.12711617315435747</v>
      </c>
      <c r="F73" s="12">
        <f>K73/C73</f>
        <v>0.34152601478588368</v>
      </c>
      <c r="G73" s="13">
        <v>541.89800000000002</v>
      </c>
      <c r="H73" s="14">
        <v>25.116</v>
      </c>
      <c r="I73" s="14">
        <v>46.863999999999997</v>
      </c>
      <c r="J73" s="14">
        <v>22.02</v>
      </c>
      <c r="K73" s="14">
        <v>24.484000000000002</v>
      </c>
    </row>
    <row r="74" spans="1:11" x14ac:dyDescent="0.35">
      <c r="A74" s="3">
        <v>23743</v>
      </c>
      <c r="B74" s="4">
        <v>717.79</v>
      </c>
      <c r="C74" s="4">
        <v>79.043000000000006</v>
      </c>
      <c r="D74" s="4">
        <v>552.98400000000004</v>
      </c>
      <c r="E74" s="21">
        <f>(I74+J74)/D74</f>
        <v>0.13141067372654544</v>
      </c>
      <c r="F74" s="12">
        <f>K74/C74</f>
        <v>0.33252786458003869</v>
      </c>
      <c r="G74" s="13">
        <v>552.98400000000004</v>
      </c>
      <c r="H74" s="14">
        <v>26.236000000000001</v>
      </c>
      <c r="I74" s="14">
        <v>50.503999999999998</v>
      </c>
      <c r="J74" s="14">
        <v>22.164000000000001</v>
      </c>
      <c r="K74" s="14">
        <v>26.283999999999999</v>
      </c>
    </row>
    <row r="75" spans="1:11" x14ac:dyDescent="0.35">
      <c r="A75" s="3">
        <v>23833</v>
      </c>
      <c r="B75" s="4">
        <v>730.19100000000003</v>
      </c>
      <c r="C75" s="4">
        <v>81.805999999999997</v>
      </c>
      <c r="D75" s="4">
        <v>562.56399999999996</v>
      </c>
      <c r="E75" s="21">
        <f>(I75+J75)/D75</f>
        <v>0.13209519272473888</v>
      </c>
      <c r="F75" s="12">
        <f>K75/C75</f>
        <v>0.33132044104344427</v>
      </c>
      <c r="G75" s="13">
        <v>562.56399999999996</v>
      </c>
      <c r="H75" s="14">
        <v>25.728000000000002</v>
      </c>
      <c r="I75" s="14">
        <v>51.868000000000002</v>
      </c>
      <c r="J75" s="14">
        <v>22.443999999999999</v>
      </c>
      <c r="K75" s="14">
        <v>27.103999999999999</v>
      </c>
    </row>
    <row r="76" spans="1:11" x14ac:dyDescent="0.35">
      <c r="A76" s="3">
        <v>23924</v>
      </c>
      <c r="B76" s="4">
        <v>749.32299999999998</v>
      </c>
      <c r="C76" s="4">
        <v>83.277000000000001</v>
      </c>
      <c r="D76" s="4">
        <v>576.86800000000005</v>
      </c>
      <c r="E76" s="21">
        <f>(I76+J76)/D76</f>
        <v>0.12684357600005547</v>
      </c>
      <c r="F76" s="12">
        <f>K76/C76</f>
        <v>0.33137601018288365</v>
      </c>
      <c r="G76" s="13">
        <v>576.86800000000005</v>
      </c>
      <c r="H76" s="14">
        <v>29.175999999999998</v>
      </c>
      <c r="I76" s="14">
        <v>50.384</v>
      </c>
      <c r="J76" s="14">
        <v>22.788</v>
      </c>
      <c r="K76" s="14">
        <v>27.596</v>
      </c>
    </row>
    <row r="77" spans="1:11" x14ac:dyDescent="0.35">
      <c r="A77" s="3">
        <v>24016</v>
      </c>
      <c r="B77" s="4">
        <v>771.85699999999997</v>
      </c>
      <c r="C77" s="4">
        <v>88.313000000000002</v>
      </c>
      <c r="D77" s="4">
        <v>590.22799999999995</v>
      </c>
      <c r="E77" s="21">
        <f>(I77+J77)/D77</f>
        <v>0.12664936261919124</v>
      </c>
      <c r="F77" s="12">
        <f>K77/C77</f>
        <v>0.33317858072990386</v>
      </c>
      <c r="G77" s="13">
        <v>590.22799999999995</v>
      </c>
      <c r="H77" s="14">
        <v>27.908000000000001</v>
      </c>
      <c r="I77" s="14">
        <v>51.515999999999998</v>
      </c>
      <c r="J77" s="14">
        <v>23.236000000000001</v>
      </c>
      <c r="K77" s="14">
        <v>29.423999999999999</v>
      </c>
    </row>
    <row r="78" spans="1:11" x14ac:dyDescent="0.35">
      <c r="A78" s="3">
        <v>24108</v>
      </c>
      <c r="B78" s="4">
        <v>795.73400000000004</v>
      </c>
      <c r="C78" s="4">
        <v>90.825999999999993</v>
      </c>
      <c r="D78" s="4">
        <v>602.90099999999995</v>
      </c>
      <c r="E78" s="21">
        <f>(I78+J78)/D78</f>
        <v>0.13927328035614472</v>
      </c>
      <c r="F78" s="12">
        <f>K78/C78</f>
        <v>0.33298835135313681</v>
      </c>
      <c r="G78" s="13">
        <v>602.90099999999995</v>
      </c>
      <c r="H78" s="14">
        <v>28.66</v>
      </c>
      <c r="I78" s="14">
        <v>54.392000000000003</v>
      </c>
      <c r="J78" s="14">
        <v>29.576000000000001</v>
      </c>
      <c r="K78" s="14">
        <v>30.244</v>
      </c>
    </row>
    <row r="79" spans="1:11" x14ac:dyDescent="0.35">
      <c r="A79" s="3">
        <v>24198</v>
      </c>
      <c r="B79" s="4">
        <v>804.98099999999999</v>
      </c>
      <c r="C79" s="4">
        <v>91.203999999999994</v>
      </c>
      <c r="D79" s="4">
        <v>612.80899999999997</v>
      </c>
      <c r="E79" s="21">
        <f>(I79+J79)/D79</f>
        <v>0.14364018805206843</v>
      </c>
      <c r="F79" s="12">
        <f>K79/C79</f>
        <v>0.33059953510810935</v>
      </c>
      <c r="G79" s="13">
        <v>612.80899999999997</v>
      </c>
      <c r="H79" s="14">
        <v>28.263999999999999</v>
      </c>
      <c r="I79" s="14">
        <v>58</v>
      </c>
      <c r="J79" s="14">
        <v>30.024000000000001</v>
      </c>
      <c r="K79" s="14">
        <v>30.152000000000001</v>
      </c>
    </row>
    <row r="80" spans="1:11" x14ac:dyDescent="0.35">
      <c r="A80" s="3">
        <v>24289</v>
      </c>
      <c r="B80" s="4">
        <v>819.63800000000003</v>
      </c>
      <c r="C80" s="4">
        <v>90.552999999999997</v>
      </c>
      <c r="D80" s="4">
        <v>626.01900000000001</v>
      </c>
      <c r="E80" s="21">
        <f>(I80+J80)/D80</f>
        <v>0.14525437726330989</v>
      </c>
      <c r="F80" s="12">
        <f>K80/C80</f>
        <v>0.32798471613309332</v>
      </c>
      <c r="G80" s="13">
        <v>626.01900000000001</v>
      </c>
      <c r="H80" s="14">
        <v>29.788</v>
      </c>
      <c r="I80" s="14">
        <v>59.835999999999999</v>
      </c>
      <c r="J80" s="14">
        <v>31.096</v>
      </c>
      <c r="K80" s="14">
        <v>29.7</v>
      </c>
    </row>
    <row r="81" spans="1:11" x14ac:dyDescent="0.35">
      <c r="A81" s="3">
        <v>24381</v>
      </c>
      <c r="B81" s="4">
        <v>833.30200000000002</v>
      </c>
      <c r="C81" s="4">
        <v>88.953000000000003</v>
      </c>
      <c r="D81" s="4">
        <v>639.62599999999998</v>
      </c>
      <c r="E81" s="21">
        <f>(I81+J81)/D81</f>
        <v>0.14624796365376017</v>
      </c>
      <c r="F81" s="12">
        <f>K81/C81</f>
        <v>0.3262396996166515</v>
      </c>
      <c r="G81" s="13">
        <v>639.62599999999998</v>
      </c>
      <c r="H81" s="14">
        <v>32.82</v>
      </c>
      <c r="I81" s="14">
        <v>62.18</v>
      </c>
      <c r="J81" s="14">
        <v>31.364000000000001</v>
      </c>
      <c r="K81" s="14">
        <v>29.02</v>
      </c>
    </row>
    <row r="82" spans="1:11" x14ac:dyDescent="0.35">
      <c r="A82" s="3">
        <v>24473</v>
      </c>
      <c r="B82" s="4">
        <v>844.17</v>
      </c>
      <c r="C82" s="4">
        <v>85.784000000000006</v>
      </c>
      <c r="D82" s="4">
        <v>650.49699999999996</v>
      </c>
      <c r="E82" s="21">
        <f>(I82+J82)/D82</f>
        <v>0.14701989401949586</v>
      </c>
      <c r="F82" s="12">
        <f>K82/C82</f>
        <v>0.32416301408188003</v>
      </c>
      <c r="G82" s="13">
        <v>650.49699999999996</v>
      </c>
      <c r="H82" s="14">
        <v>35.56</v>
      </c>
      <c r="I82" s="14">
        <v>62.856000000000002</v>
      </c>
      <c r="J82" s="14">
        <v>32.78</v>
      </c>
      <c r="K82" s="14">
        <v>27.808</v>
      </c>
    </row>
    <row r="83" spans="1:11" x14ac:dyDescent="0.35">
      <c r="A83" s="3">
        <v>24563</v>
      </c>
      <c r="B83" s="4">
        <v>848.98299999999995</v>
      </c>
      <c r="C83" s="4">
        <v>85.602000000000004</v>
      </c>
      <c r="D83" s="4">
        <v>657.63800000000003</v>
      </c>
      <c r="E83" s="21">
        <f>(I83+J83)/D83</f>
        <v>0.14652437967392395</v>
      </c>
      <c r="F83" s="12">
        <f>K83/C83</f>
        <v>0.32148781570524049</v>
      </c>
      <c r="G83" s="13">
        <v>657.63800000000003</v>
      </c>
      <c r="H83" s="14">
        <v>36.06</v>
      </c>
      <c r="I83" s="14">
        <v>62.648000000000003</v>
      </c>
      <c r="J83" s="14">
        <v>33.712000000000003</v>
      </c>
      <c r="K83" s="14">
        <v>27.52</v>
      </c>
    </row>
    <row r="84" spans="1:11" x14ac:dyDescent="0.35">
      <c r="A84" s="3">
        <v>24654</v>
      </c>
      <c r="B84" s="4">
        <v>865.23299999999995</v>
      </c>
      <c r="C84" s="4">
        <v>87.147999999999996</v>
      </c>
      <c r="D84" s="4">
        <v>671.58500000000004</v>
      </c>
      <c r="E84" s="21">
        <f>(I84+J84)/D84</f>
        <v>0.14816888405786313</v>
      </c>
      <c r="F84" s="12">
        <f>K84/C84</f>
        <v>0.31858447698168635</v>
      </c>
      <c r="G84" s="13">
        <v>671.58500000000004</v>
      </c>
      <c r="H84" s="14">
        <v>36.884</v>
      </c>
      <c r="I84" s="14">
        <v>65.156000000000006</v>
      </c>
      <c r="J84" s="14">
        <v>34.351999999999997</v>
      </c>
      <c r="K84" s="14">
        <v>27.763999999999999</v>
      </c>
    </row>
    <row r="85" spans="1:11" x14ac:dyDescent="0.35">
      <c r="A85" s="3">
        <v>24746</v>
      </c>
      <c r="B85" s="4">
        <v>881.43899999999996</v>
      </c>
      <c r="C85" s="4">
        <v>91.881</v>
      </c>
      <c r="D85" s="4">
        <v>683.17399999999998</v>
      </c>
      <c r="E85" s="21">
        <f>(I85+J85)/D85</f>
        <v>0.14930310579735179</v>
      </c>
      <c r="F85" s="12">
        <f>K85/C85</f>
        <v>0.31980496511792428</v>
      </c>
      <c r="G85" s="13">
        <v>683.17399999999998</v>
      </c>
      <c r="H85" s="14">
        <v>37.576000000000001</v>
      </c>
      <c r="I85" s="14">
        <v>66.884</v>
      </c>
      <c r="J85" s="14">
        <v>35.116</v>
      </c>
      <c r="K85" s="14">
        <v>29.384</v>
      </c>
    </row>
    <row r="86" spans="1:11" x14ac:dyDescent="0.35">
      <c r="A86" s="3">
        <v>24838</v>
      </c>
      <c r="B86" s="4">
        <v>909.38699999999994</v>
      </c>
      <c r="C86" s="4">
        <v>95.275999999999996</v>
      </c>
      <c r="D86" s="4">
        <v>702.51800000000003</v>
      </c>
      <c r="E86" s="21">
        <f>(I86+J86)/D86</f>
        <v>0.15017978187035774</v>
      </c>
      <c r="F86" s="12">
        <f>K86/C86</f>
        <v>0.34590033166799616</v>
      </c>
      <c r="G86" s="13">
        <v>702.51800000000003</v>
      </c>
      <c r="H86" s="14">
        <v>39.304000000000002</v>
      </c>
      <c r="I86" s="14">
        <v>68.831999999999994</v>
      </c>
      <c r="J86" s="14">
        <v>36.671999999999997</v>
      </c>
      <c r="K86" s="14">
        <v>32.956000000000003</v>
      </c>
    </row>
    <row r="87" spans="1:11" x14ac:dyDescent="0.35">
      <c r="A87" s="3">
        <v>24929</v>
      </c>
      <c r="B87" s="4">
        <v>934.34400000000005</v>
      </c>
      <c r="C87" s="4">
        <v>97.59</v>
      </c>
      <c r="D87" s="4">
        <v>722.35299999999995</v>
      </c>
      <c r="E87" s="21">
        <f>(I87+J87)/D87</f>
        <v>0.15074624179590865</v>
      </c>
      <c r="F87" s="12">
        <f>K87/C87</f>
        <v>0.34331386412542264</v>
      </c>
      <c r="G87" s="13">
        <v>722.35299999999995</v>
      </c>
      <c r="H87" s="14">
        <v>41.832000000000001</v>
      </c>
      <c r="I87" s="14">
        <v>71.391999999999996</v>
      </c>
      <c r="J87" s="14">
        <v>37.5</v>
      </c>
      <c r="K87" s="14">
        <v>33.503999999999998</v>
      </c>
    </row>
    <row r="88" spans="1:11" x14ac:dyDescent="0.35">
      <c r="A88" s="3">
        <v>25020</v>
      </c>
      <c r="B88" s="4">
        <v>950.82500000000005</v>
      </c>
      <c r="C88" s="4">
        <v>98.14</v>
      </c>
      <c r="D88" s="4">
        <v>741.25</v>
      </c>
      <c r="E88" s="21">
        <f>(I88+J88)/D88</f>
        <v>0.16072310286677907</v>
      </c>
      <c r="F88" s="12">
        <f>K88/C88</f>
        <v>0.34175667413898514</v>
      </c>
      <c r="G88" s="13">
        <v>741.25</v>
      </c>
      <c r="H88" s="14">
        <v>42.771999999999998</v>
      </c>
      <c r="I88" s="14">
        <v>81.016000000000005</v>
      </c>
      <c r="J88" s="14">
        <v>38.119999999999997</v>
      </c>
      <c r="K88" s="14">
        <v>33.54</v>
      </c>
    </row>
    <row r="89" spans="1:11" x14ac:dyDescent="0.35">
      <c r="A89" s="3">
        <v>25112</v>
      </c>
      <c r="B89" s="4">
        <v>968.03</v>
      </c>
      <c r="C89" s="4">
        <v>100.619</v>
      </c>
      <c r="D89" s="4">
        <v>757.524</v>
      </c>
      <c r="E89" s="21">
        <f>(I89+J89)/D89</f>
        <v>0.16266151303457052</v>
      </c>
      <c r="F89" s="12">
        <f>K89/C89</f>
        <v>0.34152595434261918</v>
      </c>
      <c r="G89" s="13">
        <v>757.524</v>
      </c>
      <c r="H89" s="14">
        <v>43.531999999999996</v>
      </c>
      <c r="I89" s="14">
        <v>84.5</v>
      </c>
      <c r="J89" s="14">
        <v>38.72</v>
      </c>
      <c r="K89" s="14">
        <v>34.363999999999997</v>
      </c>
    </row>
    <row r="90" spans="1:11" x14ac:dyDescent="0.35">
      <c r="A90" s="3">
        <v>25204</v>
      </c>
      <c r="B90" s="4">
        <v>993.33699999999999</v>
      </c>
      <c r="C90" s="4">
        <v>100.694</v>
      </c>
      <c r="D90" s="4">
        <v>772.35799999999995</v>
      </c>
      <c r="E90" s="21">
        <f>(I90+J90)/D90</f>
        <v>0.17177526483832628</v>
      </c>
      <c r="F90" s="12">
        <f>K90/C90</f>
        <v>0.34377420700339639</v>
      </c>
      <c r="G90" s="13">
        <v>772.35799999999995</v>
      </c>
      <c r="H90" s="14">
        <v>44.567999999999998</v>
      </c>
      <c r="I90" s="14">
        <v>90.744</v>
      </c>
      <c r="J90" s="14">
        <v>41.927999999999997</v>
      </c>
      <c r="K90" s="14">
        <v>34.616</v>
      </c>
    </row>
    <row r="91" spans="1:11" x14ac:dyDescent="0.35">
      <c r="A91" s="3">
        <v>25294</v>
      </c>
      <c r="B91" s="4">
        <v>1009.02</v>
      </c>
      <c r="C91" s="4">
        <v>97.802999999999997</v>
      </c>
      <c r="D91" s="4">
        <v>790.61</v>
      </c>
      <c r="E91" s="21">
        <f>(I91+J91)/D91</f>
        <v>0.17203425203324016</v>
      </c>
      <c r="F91" s="12">
        <f>K91/C91</f>
        <v>0.34260707749251051</v>
      </c>
      <c r="G91" s="13">
        <v>790.61</v>
      </c>
      <c r="H91" s="14">
        <v>45.347999999999999</v>
      </c>
      <c r="I91" s="14">
        <v>93.335999999999999</v>
      </c>
      <c r="J91" s="14">
        <v>42.676000000000002</v>
      </c>
      <c r="K91" s="14">
        <v>33.508000000000003</v>
      </c>
    </row>
    <row r="92" spans="1:11" x14ac:dyDescent="0.35">
      <c r="A92" s="3">
        <v>25385</v>
      </c>
      <c r="B92" s="4">
        <v>1029.9559999999999</v>
      </c>
      <c r="C92" s="4">
        <v>94.701999999999998</v>
      </c>
      <c r="D92" s="4">
        <v>811.61900000000003</v>
      </c>
      <c r="E92" s="21">
        <f>(I92+J92)/D92</f>
        <v>0.16554565627468062</v>
      </c>
      <c r="F92" s="12">
        <f>K92/C92</f>
        <v>0.34047855377922326</v>
      </c>
      <c r="G92" s="13">
        <v>811.61900000000003</v>
      </c>
      <c r="H92" s="14">
        <v>46.124000000000002</v>
      </c>
      <c r="I92" s="14">
        <v>90.775999999999996</v>
      </c>
      <c r="J92" s="14">
        <v>43.584000000000003</v>
      </c>
      <c r="K92" s="14">
        <v>32.244</v>
      </c>
    </row>
    <row r="93" spans="1:11" x14ac:dyDescent="0.35">
      <c r="A93" s="3">
        <v>25477</v>
      </c>
      <c r="B93" s="4">
        <v>1038.1469999999999</v>
      </c>
      <c r="C93" s="4">
        <v>93.411000000000001</v>
      </c>
      <c r="D93" s="4">
        <v>826.76</v>
      </c>
      <c r="E93" s="21">
        <f>(I93+J93)/D93</f>
        <v>0.16469108326479268</v>
      </c>
      <c r="F93" s="12">
        <f>K93/C93</f>
        <v>0.34055946301827411</v>
      </c>
      <c r="G93" s="13">
        <v>826.76</v>
      </c>
      <c r="H93" s="14">
        <v>46.984000000000002</v>
      </c>
      <c r="I93" s="14">
        <v>91.944000000000003</v>
      </c>
      <c r="J93" s="14">
        <v>44.216000000000001</v>
      </c>
      <c r="K93" s="14">
        <v>31.812000000000001</v>
      </c>
    </row>
    <row r="94" spans="1:11" x14ac:dyDescent="0.35">
      <c r="A94" s="3">
        <v>25569</v>
      </c>
      <c r="B94" s="4">
        <v>1051.2</v>
      </c>
      <c r="C94" s="4">
        <v>86.399000000000001</v>
      </c>
      <c r="D94" s="4">
        <v>841.74099999999999</v>
      </c>
      <c r="E94" s="21">
        <f>(I94+J94)/D94</f>
        <v>0.16093786568552559</v>
      </c>
      <c r="F94" s="12">
        <f>K94/C94</f>
        <v>0.31194805495433975</v>
      </c>
      <c r="G94" s="13">
        <v>841.74099999999999</v>
      </c>
      <c r="H94" s="14">
        <v>48.276000000000003</v>
      </c>
      <c r="I94" s="14">
        <v>90.555999999999997</v>
      </c>
      <c r="J94" s="14">
        <v>44.911999999999999</v>
      </c>
      <c r="K94" s="14">
        <v>26.952000000000002</v>
      </c>
    </row>
    <row r="95" spans="1:11" x14ac:dyDescent="0.35">
      <c r="A95" s="3">
        <v>25659</v>
      </c>
      <c r="B95" s="4">
        <v>1067.375</v>
      </c>
      <c r="C95" s="4">
        <v>86.35</v>
      </c>
      <c r="D95" s="4">
        <v>860.03200000000004</v>
      </c>
      <c r="E95" s="21">
        <f>(I95+J95)/D95</f>
        <v>0.15876618544426255</v>
      </c>
      <c r="F95" s="12">
        <f>K95/C95</f>
        <v>0.31295888824551249</v>
      </c>
      <c r="G95" s="13">
        <v>860.03200000000004</v>
      </c>
      <c r="H95" s="14">
        <v>57.475999999999999</v>
      </c>
      <c r="I95" s="14">
        <v>91.364000000000004</v>
      </c>
      <c r="J95" s="14">
        <v>45.18</v>
      </c>
      <c r="K95" s="14">
        <v>27.024000000000001</v>
      </c>
    </row>
    <row r="96" spans="1:11" x14ac:dyDescent="0.35">
      <c r="A96" s="3">
        <v>25750</v>
      </c>
      <c r="B96" s="4">
        <v>1086.059</v>
      </c>
      <c r="C96" s="4">
        <v>88.275999999999996</v>
      </c>
      <c r="D96" s="4">
        <v>874.67899999999997</v>
      </c>
      <c r="E96" s="21">
        <f>(I96+J96)/D96</f>
        <v>0.1508667751255032</v>
      </c>
      <c r="F96" s="12">
        <f>K96/C96</f>
        <v>0.31609950609452175</v>
      </c>
      <c r="G96" s="13">
        <v>874.67899999999997</v>
      </c>
      <c r="H96" s="14">
        <v>56.948</v>
      </c>
      <c r="I96" s="14">
        <v>86.34</v>
      </c>
      <c r="J96" s="14">
        <v>45.62</v>
      </c>
      <c r="K96" s="14">
        <v>27.904</v>
      </c>
    </row>
    <row r="97" spans="1:11" x14ac:dyDescent="0.35">
      <c r="A97" s="3">
        <v>25842</v>
      </c>
      <c r="B97" s="4">
        <v>1088.6079999999999</v>
      </c>
      <c r="C97" s="4">
        <v>84.025999999999996</v>
      </c>
      <c r="D97" s="4">
        <v>883.72400000000005</v>
      </c>
      <c r="E97" s="21">
        <f>(I97+J97)/D97</f>
        <v>0.14995632120435792</v>
      </c>
      <c r="F97" s="12">
        <f>K97/C97</f>
        <v>0.31666388974841125</v>
      </c>
      <c r="G97" s="13">
        <v>883.72400000000005</v>
      </c>
      <c r="H97" s="14">
        <v>59.844000000000001</v>
      </c>
      <c r="I97" s="14">
        <v>87.152000000000001</v>
      </c>
      <c r="J97" s="14">
        <v>45.368000000000002</v>
      </c>
      <c r="K97" s="14">
        <v>26.608000000000001</v>
      </c>
    </row>
    <row r="98" spans="1:11" x14ac:dyDescent="0.35">
      <c r="A98" s="3">
        <v>25934</v>
      </c>
      <c r="B98" s="4">
        <v>1135.1559999999999</v>
      </c>
      <c r="C98" s="4">
        <v>94.536000000000001</v>
      </c>
      <c r="D98" s="4">
        <v>903.65899999999999</v>
      </c>
      <c r="E98" s="21">
        <f>(I98+J98)/D98</f>
        <v>0.14713072076967088</v>
      </c>
      <c r="F98" s="12">
        <f>K98/C98</f>
        <v>0.31598544469831596</v>
      </c>
      <c r="G98" s="13">
        <v>903.65899999999999</v>
      </c>
      <c r="H98" s="14">
        <v>61.024000000000001</v>
      </c>
      <c r="I98" s="14">
        <v>83.62</v>
      </c>
      <c r="J98" s="14">
        <v>49.335999999999999</v>
      </c>
      <c r="K98" s="14">
        <v>29.872</v>
      </c>
    </row>
    <row r="99" spans="1:11" x14ac:dyDescent="0.35">
      <c r="A99" s="3">
        <v>26024</v>
      </c>
      <c r="B99" s="4">
        <v>1156.271</v>
      </c>
      <c r="C99" s="4">
        <v>97.736000000000004</v>
      </c>
      <c r="D99" s="4">
        <v>927.06399999999996</v>
      </c>
      <c r="E99" s="21">
        <f>(I99+J99)/D99</f>
        <v>0.14560807020874503</v>
      </c>
      <c r="F99" s="12">
        <f>K99/C99</f>
        <v>0.31390685110911026</v>
      </c>
      <c r="G99" s="13">
        <v>927.06399999999996</v>
      </c>
      <c r="H99" s="14">
        <v>67.867999999999995</v>
      </c>
      <c r="I99" s="14">
        <v>85.108000000000004</v>
      </c>
      <c r="J99" s="14">
        <v>49.88</v>
      </c>
      <c r="K99" s="14">
        <v>30.68</v>
      </c>
    </row>
    <row r="100" spans="1:11" x14ac:dyDescent="0.35">
      <c r="A100" s="3">
        <v>26115</v>
      </c>
      <c r="B100" s="4">
        <v>1177.675</v>
      </c>
      <c r="C100" s="4">
        <v>101.096</v>
      </c>
      <c r="D100" s="4">
        <v>941.11500000000001</v>
      </c>
      <c r="E100" s="21">
        <f>(I100+J100)/D100</f>
        <v>0.14495146714269774</v>
      </c>
      <c r="F100" s="12">
        <f>K100/C100</f>
        <v>0.29429453193004668</v>
      </c>
      <c r="G100" s="13">
        <v>941.11500000000001</v>
      </c>
      <c r="H100" s="14">
        <v>67.227999999999994</v>
      </c>
      <c r="I100" s="14">
        <v>86.292000000000002</v>
      </c>
      <c r="J100" s="14">
        <v>50.124000000000002</v>
      </c>
      <c r="K100" s="14">
        <v>29.751999999999999</v>
      </c>
    </row>
    <row r="101" spans="1:11" x14ac:dyDescent="0.35">
      <c r="A101" s="3">
        <v>26207</v>
      </c>
      <c r="B101" s="4">
        <v>1190.297</v>
      </c>
      <c r="C101" s="4">
        <v>103.715</v>
      </c>
      <c r="D101" s="4">
        <v>959.3</v>
      </c>
      <c r="E101" s="21">
        <f>(I101+J101)/D101</f>
        <v>0.1447513812154696</v>
      </c>
      <c r="F101" s="12">
        <f>K101/C101</f>
        <v>0.29014125247071298</v>
      </c>
      <c r="G101" s="13">
        <v>959.3</v>
      </c>
      <c r="H101" s="14">
        <v>68.2</v>
      </c>
      <c r="I101" s="14">
        <v>88.191999999999993</v>
      </c>
      <c r="J101" s="14">
        <v>50.667999999999999</v>
      </c>
      <c r="K101" s="14">
        <v>30.091999999999999</v>
      </c>
    </row>
    <row r="102" spans="1:11" x14ac:dyDescent="0.35">
      <c r="A102" s="3">
        <v>26299</v>
      </c>
      <c r="B102" s="4">
        <v>1230.6089999999999</v>
      </c>
      <c r="C102" s="4">
        <v>109.925</v>
      </c>
      <c r="D102" s="4">
        <v>986.53899999999999</v>
      </c>
      <c r="E102" s="21">
        <f>(I102+J102)/D102</f>
        <v>0.15931250563839849</v>
      </c>
      <c r="F102" s="12">
        <f>K102/C102</f>
        <v>0.28892426654537184</v>
      </c>
      <c r="G102" s="13">
        <v>986.53899999999999</v>
      </c>
      <c r="H102" s="14">
        <v>70.224000000000004</v>
      </c>
      <c r="I102" s="14">
        <v>100.28400000000001</v>
      </c>
      <c r="J102" s="14">
        <v>56.884</v>
      </c>
      <c r="K102" s="14">
        <v>31.76</v>
      </c>
    </row>
    <row r="103" spans="1:11" x14ac:dyDescent="0.35">
      <c r="A103" s="3">
        <v>26390</v>
      </c>
      <c r="B103" s="4">
        <v>1266.3689999999999</v>
      </c>
      <c r="C103" s="4">
        <v>111.285</v>
      </c>
      <c r="D103" s="4">
        <v>1004.1849999999999</v>
      </c>
      <c r="E103" s="21">
        <f>(I103+J103)/D103</f>
        <v>0.15923360735322675</v>
      </c>
      <c r="F103" s="12">
        <f>K103/C103</f>
        <v>0.28762187177067894</v>
      </c>
      <c r="G103" s="13">
        <v>1004.1849999999999</v>
      </c>
      <c r="H103" s="14">
        <v>70.239999999999995</v>
      </c>
      <c r="I103" s="14">
        <v>102.404</v>
      </c>
      <c r="J103" s="14">
        <v>57.496000000000002</v>
      </c>
      <c r="K103" s="14">
        <v>32.008000000000003</v>
      </c>
    </row>
    <row r="104" spans="1:11" x14ac:dyDescent="0.35">
      <c r="A104" s="3">
        <v>26481</v>
      </c>
      <c r="B104" s="4">
        <v>1290.566</v>
      </c>
      <c r="C104" s="4">
        <v>115.77200000000001</v>
      </c>
      <c r="D104" s="4">
        <v>1030.1199999999999</v>
      </c>
      <c r="E104" s="21">
        <f>(I104+J104)/D104</f>
        <v>0.15650215508872756</v>
      </c>
      <c r="F104" s="12">
        <f>K104/C104</f>
        <v>0.28607953563901456</v>
      </c>
      <c r="G104" s="13">
        <v>1030.1199999999999</v>
      </c>
      <c r="H104" s="14">
        <v>70.335999999999999</v>
      </c>
      <c r="I104" s="14">
        <v>103.06</v>
      </c>
      <c r="J104" s="14">
        <v>58.155999999999999</v>
      </c>
      <c r="K104" s="14">
        <v>33.119999999999997</v>
      </c>
    </row>
    <row r="105" spans="1:11" x14ac:dyDescent="0.35">
      <c r="A105" s="3">
        <v>26573</v>
      </c>
      <c r="B105" s="4">
        <v>1328.904</v>
      </c>
      <c r="C105" s="4">
        <v>126.556</v>
      </c>
      <c r="D105" s="4">
        <v>1076.989</v>
      </c>
      <c r="E105" s="21">
        <f>(I105+J105)/D105</f>
        <v>0.15253637688035809</v>
      </c>
      <c r="F105" s="12">
        <f>K105/C105</f>
        <v>0.28932646417396252</v>
      </c>
      <c r="G105" s="13">
        <v>1076.989</v>
      </c>
      <c r="H105" s="14">
        <v>80.62</v>
      </c>
      <c r="I105" s="14">
        <v>105.28</v>
      </c>
      <c r="J105" s="14">
        <v>59</v>
      </c>
      <c r="K105" s="14">
        <v>36.616</v>
      </c>
    </row>
    <row r="106" spans="1:11" x14ac:dyDescent="0.35">
      <c r="A106" s="3">
        <v>26665</v>
      </c>
      <c r="B106" s="4">
        <v>1377.49</v>
      </c>
      <c r="C106" s="4">
        <v>141.56299999999999</v>
      </c>
      <c r="D106" s="4">
        <v>1095.077</v>
      </c>
      <c r="E106" s="21">
        <f>(I106+J106)/D106</f>
        <v>0.16136216905295245</v>
      </c>
      <c r="F106" s="12">
        <f>K106/C106</f>
        <v>0.27753014558888978</v>
      </c>
      <c r="G106" s="13">
        <v>1095.077</v>
      </c>
      <c r="H106" s="14">
        <v>82.18</v>
      </c>
      <c r="I106" s="14">
        <v>104.5</v>
      </c>
      <c r="J106" s="14">
        <v>72.203999999999994</v>
      </c>
      <c r="K106" s="14">
        <v>39.287999999999997</v>
      </c>
    </row>
    <row r="107" spans="1:11" x14ac:dyDescent="0.35">
      <c r="A107" s="3">
        <v>26755</v>
      </c>
      <c r="B107" s="4">
        <v>1413.8869999999999</v>
      </c>
      <c r="C107" s="4">
        <v>145.06899999999999</v>
      </c>
      <c r="D107" s="4">
        <v>1124.8599999999999</v>
      </c>
      <c r="E107" s="21">
        <f>(I107+J107)/D107</f>
        <v>0.16012659353163952</v>
      </c>
      <c r="F107" s="12">
        <f>K107/C107</f>
        <v>0.27129159227677868</v>
      </c>
      <c r="G107" s="13">
        <v>1124.8599999999999</v>
      </c>
      <c r="H107" s="14">
        <v>83.628</v>
      </c>
      <c r="I107" s="14">
        <v>106.864</v>
      </c>
      <c r="J107" s="14">
        <v>73.256</v>
      </c>
      <c r="K107" s="14">
        <v>39.356000000000002</v>
      </c>
    </row>
    <row r="108" spans="1:11" x14ac:dyDescent="0.35">
      <c r="A108" s="3">
        <v>26846</v>
      </c>
      <c r="B108" s="4">
        <v>1433.838</v>
      </c>
      <c r="C108" s="4">
        <v>145.14500000000001</v>
      </c>
      <c r="D108" s="4">
        <v>1152.519</v>
      </c>
      <c r="E108" s="21">
        <f>(I108+J108)/D108</f>
        <v>0.16097261737116697</v>
      </c>
      <c r="F108" s="12">
        <f>K108/C108</f>
        <v>0.25896861758930723</v>
      </c>
      <c r="G108" s="13">
        <v>1152.519</v>
      </c>
      <c r="H108" s="14">
        <v>85.06</v>
      </c>
      <c r="I108" s="14">
        <v>110.976</v>
      </c>
      <c r="J108" s="14">
        <v>74.548000000000002</v>
      </c>
      <c r="K108" s="14">
        <v>37.588000000000001</v>
      </c>
    </row>
    <row r="109" spans="1:11" x14ac:dyDescent="0.35">
      <c r="A109" s="3">
        <v>26938</v>
      </c>
      <c r="B109" s="4">
        <v>1476.289</v>
      </c>
      <c r="C109" s="4">
        <v>152.745</v>
      </c>
      <c r="D109" s="4">
        <v>1190.6590000000001</v>
      </c>
      <c r="E109" s="21">
        <f>(I109+J109)/D109</f>
        <v>0.16124851867747186</v>
      </c>
      <c r="F109" s="12">
        <f>K109/C109</f>
        <v>0.2582343120887754</v>
      </c>
      <c r="G109" s="13">
        <v>1190.6590000000001</v>
      </c>
      <c r="H109" s="14">
        <v>87.308000000000007</v>
      </c>
      <c r="I109" s="14">
        <v>115.98399999999999</v>
      </c>
      <c r="J109" s="14">
        <v>76.007999999999996</v>
      </c>
      <c r="K109" s="14">
        <v>39.444000000000003</v>
      </c>
    </row>
    <row r="110" spans="1:11" x14ac:dyDescent="0.35">
      <c r="A110" s="3">
        <v>27030</v>
      </c>
      <c r="B110" s="4">
        <v>1491.2090000000001</v>
      </c>
      <c r="C110" s="4">
        <v>157.26</v>
      </c>
      <c r="D110" s="4">
        <v>1206.827</v>
      </c>
      <c r="E110" s="21">
        <f>(I110+J110)/D110</f>
        <v>0.16657897113670808</v>
      </c>
      <c r="F110" s="12">
        <f>K110/C110</f>
        <v>0.23764466488617578</v>
      </c>
      <c r="G110" s="13">
        <v>1206.827</v>
      </c>
      <c r="H110" s="14">
        <v>94.116</v>
      </c>
      <c r="I110" s="14">
        <v>119.52800000000001</v>
      </c>
      <c r="J110" s="14">
        <v>81.504000000000005</v>
      </c>
      <c r="K110" s="14">
        <v>37.372</v>
      </c>
    </row>
    <row r="111" spans="1:11" x14ac:dyDescent="0.35">
      <c r="A111" s="3">
        <v>27120</v>
      </c>
      <c r="B111" s="4">
        <v>1530.056</v>
      </c>
      <c r="C111" s="4">
        <v>162.20699999999999</v>
      </c>
      <c r="D111" s="4">
        <v>1232.8869999999999</v>
      </c>
      <c r="E111" s="21">
        <f>(I111+J111)/D111</f>
        <v>0.16860588196647383</v>
      </c>
      <c r="F111" s="12">
        <f>K111/C111</f>
        <v>0.24225834889986253</v>
      </c>
      <c r="G111" s="13">
        <v>1232.8869999999999</v>
      </c>
      <c r="H111" s="14">
        <v>100.65600000000001</v>
      </c>
      <c r="I111" s="14">
        <v>124.82</v>
      </c>
      <c r="J111" s="14">
        <v>83.052000000000007</v>
      </c>
      <c r="K111" s="14">
        <v>39.295999999999999</v>
      </c>
    </row>
    <row r="112" spans="1:11" x14ac:dyDescent="0.35">
      <c r="A112" s="3">
        <v>27211</v>
      </c>
      <c r="B112" s="4">
        <v>1560.0260000000001</v>
      </c>
      <c r="C112" s="4">
        <v>172.572</v>
      </c>
      <c r="D112" s="4">
        <v>1269.1020000000001</v>
      </c>
      <c r="E112" s="21">
        <f>(I112+J112)/D112</f>
        <v>0.16895726269440908</v>
      </c>
      <c r="F112" s="12">
        <f>K112/C112</f>
        <v>0.25204552302806943</v>
      </c>
      <c r="G112" s="13">
        <v>1269.1020000000001</v>
      </c>
      <c r="H112" s="14">
        <v>106.38800000000001</v>
      </c>
      <c r="I112" s="14">
        <v>129.74799999999999</v>
      </c>
      <c r="J112" s="14">
        <v>84.676000000000002</v>
      </c>
      <c r="K112" s="14">
        <v>43.496000000000002</v>
      </c>
    </row>
    <row r="113" spans="1:11" x14ac:dyDescent="0.35">
      <c r="A113" s="3">
        <v>27303</v>
      </c>
      <c r="B113" s="4">
        <v>1599.6790000000001</v>
      </c>
      <c r="C113" s="4">
        <v>154.06800000000001</v>
      </c>
      <c r="D113" s="4">
        <v>1298.4559999999999</v>
      </c>
      <c r="E113" s="21">
        <f>(I113+J113)/D113</f>
        <v>0.16699526206509885</v>
      </c>
      <c r="F113" s="12">
        <f>K113/C113</f>
        <v>0.24726744035101381</v>
      </c>
      <c r="G113" s="13">
        <v>1298.4559999999999</v>
      </c>
      <c r="H113" s="14">
        <v>111.96</v>
      </c>
      <c r="I113" s="14">
        <v>132.00399999999999</v>
      </c>
      <c r="J113" s="14">
        <v>84.831999999999994</v>
      </c>
      <c r="K113" s="14">
        <v>38.095999999999997</v>
      </c>
    </row>
    <row r="114" spans="1:11" x14ac:dyDescent="0.35">
      <c r="A114" s="3">
        <v>27395</v>
      </c>
      <c r="B114" s="4">
        <v>1616.116</v>
      </c>
      <c r="C114" s="4">
        <v>133.01900000000001</v>
      </c>
      <c r="D114" s="4">
        <v>1318.422</v>
      </c>
      <c r="E114" s="21">
        <f>(I114+J114)/D114</f>
        <v>0.16545840406182544</v>
      </c>
      <c r="F114" s="12">
        <f>K114/C114</f>
        <v>0.2366579210488727</v>
      </c>
      <c r="G114" s="13">
        <v>1318.422</v>
      </c>
      <c r="H114" s="14">
        <v>120.54</v>
      </c>
      <c r="I114" s="14">
        <v>132.26400000000001</v>
      </c>
      <c r="J114" s="14">
        <v>85.88</v>
      </c>
      <c r="K114" s="14">
        <v>31.48</v>
      </c>
    </row>
    <row r="115" spans="1:11" x14ac:dyDescent="0.35">
      <c r="A115" s="3">
        <v>27485</v>
      </c>
      <c r="B115" s="4">
        <v>1651.8530000000001</v>
      </c>
      <c r="C115" s="4">
        <v>140.82599999999999</v>
      </c>
      <c r="D115" s="4">
        <v>1349.9549999999999</v>
      </c>
      <c r="E115" s="21">
        <f>(I115+J115)/D115</f>
        <v>0.13395409476612183</v>
      </c>
      <c r="F115" s="12">
        <f>K115/C115</f>
        <v>0.2427392668967378</v>
      </c>
      <c r="G115" s="13">
        <v>1349.9549999999999</v>
      </c>
      <c r="H115" s="14">
        <v>134.16800000000001</v>
      </c>
      <c r="I115" s="14">
        <v>94.611999999999995</v>
      </c>
      <c r="J115" s="14">
        <v>86.22</v>
      </c>
      <c r="K115" s="14">
        <v>34.183999999999997</v>
      </c>
    </row>
    <row r="116" spans="1:11" x14ac:dyDescent="0.35">
      <c r="A116" s="3">
        <v>27576</v>
      </c>
      <c r="B116" s="4">
        <v>1709.82</v>
      </c>
      <c r="C116" s="4">
        <v>167.85499999999999</v>
      </c>
      <c r="D116" s="4">
        <v>1386.4780000000001</v>
      </c>
      <c r="E116" s="21">
        <f>(I116+J116)/D116</f>
        <v>0.15403057242884488</v>
      </c>
      <c r="F116" s="12">
        <f>K116/C116</f>
        <v>0.25715051681510831</v>
      </c>
      <c r="G116" s="13">
        <v>1386.4780000000001</v>
      </c>
      <c r="H116" s="14">
        <v>136.77600000000001</v>
      </c>
      <c r="I116" s="14">
        <v>125.664</v>
      </c>
      <c r="J116" s="14">
        <v>87.896000000000001</v>
      </c>
      <c r="K116" s="14">
        <v>43.164000000000001</v>
      </c>
    </row>
    <row r="117" spans="1:11" x14ac:dyDescent="0.35">
      <c r="A117" s="3">
        <v>27668</v>
      </c>
      <c r="B117" s="4">
        <v>1761.8309999999999</v>
      </c>
      <c r="C117" s="4">
        <v>177.39099999999999</v>
      </c>
      <c r="D117" s="4">
        <v>1422.7059999999999</v>
      </c>
      <c r="E117" s="21">
        <f>(I117+J117)/D117</f>
        <v>0.1548120272213655</v>
      </c>
      <c r="F117" s="12">
        <f>K117/C117</f>
        <v>0.24736316949563397</v>
      </c>
      <c r="G117" s="13">
        <v>1422.7059999999999</v>
      </c>
      <c r="H117" s="14">
        <v>137.84399999999999</v>
      </c>
      <c r="I117" s="14">
        <v>130.38</v>
      </c>
      <c r="J117" s="14">
        <v>89.872</v>
      </c>
      <c r="K117" s="14">
        <v>43.88</v>
      </c>
    </row>
    <row r="118" spans="1:11" x14ac:dyDescent="0.35">
      <c r="A118" s="3">
        <v>27760</v>
      </c>
      <c r="B118" s="4">
        <v>1820.4870000000001</v>
      </c>
      <c r="C118" s="4">
        <v>193.54599999999999</v>
      </c>
      <c r="D118" s="4">
        <v>1456.1130000000001</v>
      </c>
      <c r="E118" s="21">
        <f>(I118+J118)/D118</f>
        <v>0.15791837584033655</v>
      </c>
      <c r="F118" s="12">
        <f>K118/C118</f>
        <v>0.25775784568009674</v>
      </c>
      <c r="G118" s="13">
        <v>1456.1130000000001</v>
      </c>
      <c r="H118" s="14">
        <v>141.33500000000001</v>
      </c>
      <c r="I118" s="14">
        <v>133.035</v>
      </c>
      <c r="J118" s="14">
        <v>96.912000000000006</v>
      </c>
      <c r="K118" s="14">
        <v>49.887999999999998</v>
      </c>
    </row>
    <row r="119" spans="1:11" x14ac:dyDescent="0.35">
      <c r="A119" s="3">
        <v>27851</v>
      </c>
      <c r="B119" s="4">
        <v>1852.3320000000001</v>
      </c>
      <c r="C119" s="4">
        <v>195.93100000000001</v>
      </c>
      <c r="D119" s="4">
        <v>1481.2360000000001</v>
      </c>
      <c r="E119" s="21">
        <f>(I119+J119)/D119</f>
        <v>0.16002784161335531</v>
      </c>
      <c r="F119" s="12">
        <f>K119/C119</f>
        <v>0.24986347234485609</v>
      </c>
      <c r="G119" s="13">
        <v>1481.2360000000001</v>
      </c>
      <c r="H119" s="14">
        <v>139.63499999999999</v>
      </c>
      <c r="I119" s="14">
        <v>138.739</v>
      </c>
      <c r="J119" s="14">
        <v>98.3</v>
      </c>
      <c r="K119" s="14">
        <v>48.956000000000003</v>
      </c>
    </row>
    <row r="120" spans="1:11" x14ac:dyDescent="0.35">
      <c r="A120" s="3">
        <v>27942</v>
      </c>
      <c r="B120" s="4">
        <v>1886.558</v>
      </c>
      <c r="C120" s="4">
        <v>197.82</v>
      </c>
      <c r="D120" s="4">
        <v>1518.3869999999999</v>
      </c>
      <c r="E120" s="21">
        <f>(I120+J120)/D120</f>
        <v>0.1610149454651548</v>
      </c>
      <c r="F120" s="12">
        <f>K120/C120</f>
        <v>0.24511171772318269</v>
      </c>
      <c r="G120" s="13">
        <v>1518.3869999999999</v>
      </c>
      <c r="H120" s="14">
        <v>145.351</v>
      </c>
      <c r="I120" s="14">
        <v>144.52699999999999</v>
      </c>
      <c r="J120" s="14">
        <v>99.956000000000003</v>
      </c>
      <c r="K120" s="14">
        <v>48.488</v>
      </c>
    </row>
    <row r="121" spans="1:11" x14ac:dyDescent="0.35">
      <c r="A121" s="3">
        <v>28034</v>
      </c>
      <c r="B121" s="4">
        <v>1934.2729999999999</v>
      </c>
      <c r="C121" s="4">
        <v>197.559</v>
      </c>
      <c r="D121" s="4">
        <v>1554.856</v>
      </c>
      <c r="E121" s="21">
        <f>(I121+J121)/D121</f>
        <v>0.16175581532952249</v>
      </c>
      <c r="F121" s="12">
        <f>K121/C121</f>
        <v>0.24041425599441182</v>
      </c>
      <c r="G121" s="13">
        <v>1554.856</v>
      </c>
      <c r="H121" s="14">
        <v>147.69900000000001</v>
      </c>
      <c r="I121" s="14">
        <v>150.08699999999999</v>
      </c>
      <c r="J121" s="14">
        <v>101.42</v>
      </c>
      <c r="K121" s="14">
        <v>47.496000000000002</v>
      </c>
    </row>
    <row r="122" spans="1:11" x14ac:dyDescent="0.35">
      <c r="A122" s="3">
        <v>28126</v>
      </c>
      <c r="B122" s="4">
        <v>1988.6479999999999</v>
      </c>
      <c r="C122" s="4">
        <v>212.751</v>
      </c>
      <c r="D122" s="4">
        <v>1588.8140000000001</v>
      </c>
      <c r="E122" s="21">
        <f>(I122+J122)/D122</f>
        <v>0.16492805325230014</v>
      </c>
      <c r="F122" s="12">
        <f>K122/C122</f>
        <v>0.23971685209470225</v>
      </c>
      <c r="G122" s="13">
        <v>1588.8140000000001</v>
      </c>
      <c r="H122" s="14">
        <v>149.804</v>
      </c>
      <c r="I122" s="14">
        <v>155.268</v>
      </c>
      <c r="J122" s="14">
        <v>106.77200000000001</v>
      </c>
      <c r="K122" s="14">
        <v>51</v>
      </c>
    </row>
    <row r="123" spans="1:11" x14ac:dyDescent="0.35">
      <c r="A123" s="3">
        <v>28216</v>
      </c>
      <c r="B123" s="4">
        <v>2055.9090000000001</v>
      </c>
      <c r="C123" s="4">
        <v>227.17099999999999</v>
      </c>
      <c r="D123" s="4">
        <v>1633.021</v>
      </c>
      <c r="E123" s="21">
        <f>(I123+J123)/D123</f>
        <v>0.16555573994455675</v>
      </c>
      <c r="F123" s="12">
        <f>K123/C123</f>
        <v>0.2452425705745892</v>
      </c>
      <c r="G123" s="13">
        <v>1633.021</v>
      </c>
      <c r="H123" s="14">
        <v>148.92400000000001</v>
      </c>
      <c r="I123" s="14">
        <v>160.97200000000001</v>
      </c>
      <c r="J123" s="14">
        <v>109.384</v>
      </c>
      <c r="K123" s="14">
        <v>55.712000000000003</v>
      </c>
    </row>
    <row r="124" spans="1:11" x14ac:dyDescent="0.35">
      <c r="A124" s="3">
        <v>28307</v>
      </c>
      <c r="B124" s="4">
        <v>2118.473</v>
      </c>
      <c r="C124" s="4">
        <v>235.983</v>
      </c>
      <c r="D124" s="4">
        <v>1677.748</v>
      </c>
      <c r="E124" s="21">
        <f>(I124+J124)/D124</f>
        <v>0.16337376054091557</v>
      </c>
      <c r="F124" s="12">
        <f>K124/C124</f>
        <v>0.24525495480606652</v>
      </c>
      <c r="G124" s="13">
        <v>1677.748</v>
      </c>
      <c r="H124" s="14">
        <v>154.44</v>
      </c>
      <c r="I124" s="14">
        <v>162.624</v>
      </c>
      <c r="J124" s="14">
        <v>111.476</v>
      </c>
      <c r="K124" s="14">
        <v>57.875999999999998</v>
      </c>
    </row>
    <row r="125" spans="1:11" x14ac:dyDescent="0.35">
      <c r="A125" s="3">
        <v>28399</v>
      </c>
      <c r="B125" s="4">
        <v>2164.27</v>
      </c>
      <c r="C125" s="4">
        <v>238.06700000000001</v>
      </c>
      <c r="D125" s="4">
        <v>1737.356</v>
      </c>
      <c r="E125" s="21">
        <f>(I125+J125)/D125</f>
        <v>0.16394567377094849</v>
      </c>
      <c r="F125" s="12">
        <f>K125/C125</f>
        <v>0.2441497561610807</v>
      </c>
      <c r="G125" s="13">
        <v>1737.356</v>
      </c>
      <c r="H125" s="14">
        <v>156.60400000000001</v>
      </c>
      <c r="I125" s="14">
        <v>171.18799999999999</v>
      </c>
      <c r="J125" s="14">
        <v>113.64400000000001</v>
      </c>
      <c r="K125" s="14">
        <v>58.124000000000002</v>
      </c>
    </row>
    <row r="126" spans="1:11" x14ac:dyDescent="0.35">
      <c r="A126" s="3">
        <v>28491</v>
      </c>
      <c r="B126" s="4">
        <v>2202.7600000000002</v>
      </c>
      <c r="C126" s="4">
        <v>238.131</v>
      </c>
      <c r="D126" s="4">
        <v>1778.0840000000001</v>
      </c>
      <c r="E126" s="21">
        <f>(I126+J126)/D126</f>
        <v>0.16538869929654618</v>
      </c>
      <c r="F126" s="12">
        <f>K126/C126</f>
        <v>0.22863045970495233</v>
      </c>
      <c r="G126" s="13">
        <v>1778.0840000000001</v>
      </c>
      <c r="H126" s="14">
        <v>158.53200000000001</v>
      </c>
      <c r="I126" s="14">
        <v>173.36</v>
      </c>
      <c r="J126" s="14">
        <v>120.715</v>
      </c>
      <c r="K126" s="14">
        <v>54.444000000000003</v>
      </c>
    </row>
    <row r="127" spans="1:11" x14ac:dyDescent="0.35">
      <c r="A127" s="3">
        <v>28581</v>
      </c>
      <c r="B127" s="4">
        <v>2331.6329999999998</v>
      </c>
      <c r="C127" s="4">
        <v>270.75</v>
      </c>
      <c r="D127" s="4">
        <v>1838.23</v>
      </c>
      <c r="E127" s="21">
        <f>(I127+J127)/D127</f>
        <v>0.16789030752408565</v>
      </c>
      <c r="F127" s="12">
        <f>K127/C127</f>
        <v>0.24452077562326868</v>
      </c>
      <c r="G127" s="13">
        <v>1838.23</v>
      </c>
      <c r="H127" s="14">
        <v>157.97999999999999</v>
      </c>
      <c r="I127" s="14">
        <v>182.94399999999999</v>
      </c>
      <c r="J127" s="14">
        <v>125.67700000000001</v>
      </c>
      <c r="K127" s="14">
        <v>66.203999999999994</v>
      </c>
    </row>
    <row r="128" spans="1:11" x14ac:dyDescent="0.35">
      <c r="A128" s="3">
        <v>28672</v>
      </c>
      <c r="B128" s="4">
        <v>2395.0529999999999</v>
      </c>
      <c r="C128" s="4">
        <v>277.887</v>
      </c>
      <c r="D128" s="4">
        <v>1892.6079999999999</v>
      </c>
      <c r="E128" s="21">
        <f>(I128+J128)/D128</f>
        <v>0.17185280839983769</v>
      </c>
      <c r="F128" s="12">
        <f>K128/C128</f>
        <v>0.23991046720429529</v>
      </c>
      <c r="G128" s="13">
        <v>1892.6079999999999</v>
      </c>
      <c r="H128" s="14">
        <v>165.876</v>
      </c>
      <c r="I128" s="14">
        <v>195.376</v>
      </c>
      <c r="J128" s="14">
        <v>129.874</v>
      </c>
      <c r="K128" s="14">
        <v>66.668000000000006</v>
      </c>
    </row>
    <row r="129" spans="1:11" x14ac:dyDescent="0.35">
      <c r="A129" s="3">
        <v>28764</v>
      </c>
      <c r="B129" s="4">
        <v>2476.9490000000001</v>
      </c>
      <c r="C129" s="4">
        <v>294.87099999999998</v>
      </c>
      <c r="D129" s="4">
        <v>1945.96</v>
      </c>
      <c r="E129" s="21">
        <f>(I129+J129)/D129</f>
        <v>0.17484994552817118</v>
      </c>
      <c r="F129" s="12">
        <f>K129/C129</f>
        <v>0.23827368578123997</v>
      </c>
      <c r="G129" s="13">
        <v>1945.96</v>
      </c>
      <c r="H129" s="14">
        <v>168.25200000000001</v>
      </c>
      <c r="I129" s="14">
        <v>205.11600000000001</v>
      </c>
      <c r="J129" s="14">
        <v>135.13499999999999</v>
      </c>
      <c r="K129" s="14">
        <v>70.260000000000005</v>
      </c>
    </row>
    <row r="130" spans="1:11" x14ac:dyDescent="0.35">
      <c r="A130" s="3">
        <v>28856</v>
      </c>
      <c r="B130" s="4">
        <v>2526.61</v>
      </c>
      <c r="C130" s="4">
        <v>294.42200000000003</v>
      </c>
      <c r="D130" s="4">
        <v>2005.384</v>
      </c>
      <c r="E130" s="21">
        <f>(I130+J130)/D130</f>
        <v>0.17641808252185118</v>
      </c>
      <c r="F130" s="12">
        <f>K130/C130</f>
        <v>0.22632819558321046</v>
      </c>
      <c r="G130" s="13">
        <v>2005.384</v>
      </c>
      <c r="H130" s="14">
        <v>172.48699999999999</v>
      </c>
      <c r="I130" s="14">
        <v>211.59100000000001</v>
      </c>
      <c r="J130" s="14">
        <v>142.19499999999999</v>
      </c>
      <c r="K130" s="14">
        <v>66.635999999999996</v>
      </c>
    </row>
    <row r="131" spans="1:11" x14ac:dyDescent="0.35">
      <c r="A131" s="3">
        <v>28946</v>
      </c>
      <c r="B131" s="4">
        <v>2591.2469999999998</v>
      </c>
      <c r="C131" s="4">
        <v>303.01299999999998</v>
      </c>
      <c r="D131" s="4">
        <v>2045.4110000000001</v>
      </c>
      <c r="E131" s="21">
        <f>(I131+J131)/D131</f>
        <v>0.1791302579286021</v>
      </c>
      <c r="F131" s="12">
        <f>K131/C131</f>
        <v>0.21956813734064215</v>
      </c>
      <c r="G131" s="13">
        <v>2045.4110000000001</v>
      </c>
      <c r="H131" s="14">
        <v>175.691</v>
      </c>
      <c r="I131" s="14">
        <v>219.935</v>
      </c>
      <c r="J131" s="14">
        <v>146.46</v>
      </c>
      <c r="K131" s="14">
        <v>66.531999999999996</v>
      </c>
    </row>
    <row r="132" spans="1:11" x14ac:dyDescent="0.35">
      <c r="A132" s="3">
        <v>29037</v>
      </c>
      <c r="B132" s="4">
        <v>2667.5650000000001</v>
      </c>
      <c r="C132" s="4">
        <v>306.82799999999997</v>
      </c>
      <c r="D132" s="4">
        <v>2110.85</v>
      </c>
      <c r="E132" s="21">
        <f>(I132+J132)/D132</f>
        <v>0.18043110595257836</v>
      </c>
      <c r="F132" s="12">
        <f>K132/C132</f>
        <v>0.21275763620008606</v>
      </c>
      <c r="G132" s="13">
        <v>2110.85</v>
      </c>
      <c r="H132" s="14">
        <v>190.07499999999999</v>
      </c>
      <c r="I132" s="14">
        <v>229.435</v>
      </c>
      <c r="J132" s="14">
        <v>151.428</v>
      </c>
      <c r="K132" s="14">
        <v>65.28</v>
      </c>
    </row>
    <row r="133" spans="1:11" x14ac:dyDescent="0.35">
      <c r="A133" s="3">
        <v>29129</v>
      </c>
      <c r="B133" s="4">
        <v>2723.8829999999998</v>
      </c>
      <c r="C133" s="4">
        <v>300.30399999999997</v>
      </c>
      <c r="D133" s="4">
        <v>2169.0300000000002</v>
      </c>
      <c r="E133" s="21">
        <f>(I133+J133)/D133</f>
        <v>0.1816277322120948</v>
      </c>
      <c r="F133" s="12">
        <f>K133/C133</f>
        <v>0.20695029037242263</v>
      </c>
      <c r="G133" s="13">
        <v>2169.0300000000002</v>
      </c>
      <c r="H133" s="14">
        <v>193.81899999999999</v>
      </c>
      <c r="I133" s="14">
        <v>238.56299999999999</v>
      </c>
      <c r="J133" s="14">
        <v>155.393</v>
      </c>
      <c r="K133" s="14">
        <v>62.148000000000003</v>
      </c>
    </row>
    <row r="134" spans="1:11" x14ac:dyDescent="0.35">
      <c r="A134" s="3">
        <v>29221</v>
      </c>
      <c r="B134" s="4">
        <v>2789.8420000000001</v>
      </c>
      <c r="C134" s="4">
        <v>308.63200000000001</v>
      </c>
      <c r="D134" s="4">
        <v>2231.9430000000002</v>
      </c>
      <c r="E134" s="21">
        <f>(I134+J134)/D134</f>
        <v>0.17768957361366303</v>
      </c>
      <c r="F134" s="12">
        <f>K134/C134</f>
        <v>0.21709997667124603</v>
      </c>
      <c r="G134" s="13">
        <v>2231.9430000000002</v>
      </c>
      <c r="H134" s="14">
        <v>202.137</v>
      </c>
      <c r="I134" s="14">
        <v>238.273</v>
      </c>
      <c r="J134" s="14">
        <v>158.32</v>
      </c>
      <c r="K134" s="14">
        <v>67.004000000000005</v>
      </c>
    </row>
    <row r="135" spans="1:11" x14ac:dyDescent="0.35">
      <c r="A135" s="3">
        <v>29312</v>
      </c>
      <c r="B135" s="4">
        <v>2797.3519999999999</v>
      </c>
      <c r="C135" s="4">
        <v>259.64600000000002</v>
      </c>
      <c r="D135" s="4">
        <v>2269.4490000000001</v>
      </c>
      <c r="E135" s="21">
        <f>(I135+J135)/D135</f>
        <v>0.17808683958088503</v>
      </c>
      <c r="F135" s="12">
        <f>K135/C135</f>
        <v>0.19192284880183016</v>
      </c>
      <c r="G135" s="13">
        <v>2269.4490000000001</v>
      </c>
      <c r="H135" s="14">
        <v>207.26499999999999</v>
      </c>
      <c r="I135" s="14">
        <v>244.173</v>
      </c>
      <c r="J135" s="14">
        <v>159.98599999999999</v>
      </c>
      <c r="K135" s="14">
        <v>49.832000000000001</v>
      </c>
    </row>
    <row r="136" spans="1:11" x14ac:dyDescent="0.35">
      <c r="A136" s="3">
        <v>29403</v>
      </c>
      <c r="B136" s="4">
        <v>2856.4830000000002</v>
      </c>
      <c r="C136" s="4">
        <v>274.40600000000001</v>
      </c>
      <c r="D136" s="4">
        <v>2348.4920000000002</v>
      </c>
      <c r="E136" s="21">
        <f>(I136+J136)/D136</f>
        <v>0.17710428649533402</v>
      </c>
      <c r="F136" s="12">
        <f>K136/C136</f>
        <v>0.20390224703541468</v>
      </c>
      <c r="G136" s="13">
        <v>2348.4920000000002</v>
      </c>
      <c r="H136" s="14">
        <v>235.429</v>
      </c>
      <c r="I136" s="14">
        <v>252.78899999999999</v>
      </c>
      <c r="J136" s="14">
        <v>163.13900000000001</v>
      </c>
      <c r="K136" s="14">
        <v>55.951999999999998</v>
      </c>
    </row>
    <row r="137" spans="1:11" x14ac:dyDescent="0.35">
      <c r="A137" s="3">
        <v>29495</v>
      </c>
      <c r="B137" s="4">
        <v>2985.5569999999998</v>
      </c>
      <c r="C137" s="4">
        <v>288.34699999999998</v>
      </c>
      <c r="D137" s="4">
        <v>2444.7020000000002</v>
      </c>
      <c r="E137" s="21">
        <f>(I137+J137)/D137</f>
        <v>0.17845447011537602</v>
      </c>
      <c r="F137" s="12">
        <f>K137/C137</f>
        <v>0.21385344740885115</v>
      </c>
      <c r="G137" s="13">
        <v>2444.7020000000002</v>
      </c>
      <c r="H137" s="14">
        <v>236.357</v>
      </c>
      <c r="I137" s="14">
        <v>267.24900000000002</v>
      </c>
      <c r="J137" s="14">
        <v>169.01900000000001</v>
      </c>
      <c r="K137" s="14">
        <v>61.664000000000001</v>
      </c>
    </row>
    <row r="138" spans="1:11" x14ac:dyDescent="0.35">
      <c r="A138" s="3">
        <v>29587</v>
      </c>
      <c r="B138" s="4">
        <v>3124.2060000000001</v>
      </c>
      <c r="C138" s="4">
        <v>291.31099999999998</v>
      </c>
      <c r="D138" s="4">
        <v>2508.89</v>
      </c>
      <c r="E138" s="21">
        <f>(I138+J138)/D138</f>
        <v>0.18513167177516751</v>
      </c>
      <c r="F138" s="12">
        <f>K138/C138</f>
        <v>0.2009398889846247</v>
      </c>
      <c r="G138" s="13">
        <v>2508.89</v>
      </c>
      <c r="H138" s="14">
        <v>240.51900000000001</v>
      </c>
      <c r="I138" s="14">
        <v>278.363</v>
      </c>
      <c r="J138" s="14">
        <v>186.11199999999999</v>
      </c>
      <c r="K138" s="14">
        <v>58.536000000000001</v>
      </c>
    </row>
    <row r="139" spans="1:11" x14ac:dyDescent="0.35">
      <c r="A139" s="3">
        <v>29677</v>
      </c>
      <c r="B139" s="4">
        <v>3162.5320000000002</v>
      </c>
      <c r="C139" s="4">
        <v>270.69099999999997</v>
      </c>
      <c r="D139" s="4">
        <v>2559.8049999999998</v>
      </c>
      <c r="E139" s="21">
        <f>(I139+J139)/D139</f>
        <v>0.18702909010647298</v>
      </c>
      <c r="F139" s="12">
        <f>K139/C139</f>
        <v>0.18732798652337906</v>
      </c>
      <c r="G139" s="13">
        <v>2559.8049999999998</v>
      </c>
      <c r="H139" s="14">
        <v>241.59100000000001</v>
      </c>
      <c r="I139" s="14">
        <v>288.99900000000002</v>
      </c>
      <c r="J139" s="14">
        <v>189.75899999999999</v>
      </c>
      <c r="K139" s="14">
        <v>50.707999999999998</v>
      </c>
    </row>
    <row r="140" spans="1:11" x14ac:dyDescent="0.35">
      <c r="A140" s="3">
        <v>29768</v>
      </c>
      <c r="B140" s="4">
        <v>3260.6089999999999</v>
      </c>
      <c r="C140" s="4">
        <v>278.51600000000002</v>
      </c>
      <c r="D140" s="4">
        <v>2659.1080000000002</v>
      </c>
      <c r="E140" s="21">
        <f>(I140+J140)/D140</f>
        <v>0.18647343394852708</v>
      </c>
      <c r="F140" s="12">
        <f>K140/C140</f>
        <v>0.18921713653793679</v>
      </c>
      <c r="G140" s="13">
        <v>2659.1080000000002</v>
      </c>
      <c r="H140" s="14">
        <v>259.28300000000002</v>
      </c>
      <c r="I140" s="14">
        <v>301.399</v>
      </c>
      <c r="J140" s="14">
        <v>194.45400000000001</v>
      </c>
      <c r="K140" s="14">
        <v>52.7</v>
      </c>
    </row>
    <row r="141" spans="1:11" x14ac:dyDescent="0.35">
      <c r="A141" s="3">
        <v>29860</v>
      </c>
      <c r="B141" s="4">
        <v>3280.8180000000002</v>
      </c>
      <c r="C141" s="4">
        <v>265.98099999999999</v>
      </c>
      <c r="D141" s="4">
        <v>2692.6619999999998</v>
      </c>
      <c r="E141" s="21">
        <f>(I141+J141)/D141</f>
        <v>0.18306716550387683</v>
      </c>
      <c r="F141" s="12">
        <f>K141/C141</f>
        <v>0.16829773555253949</v>
      </c>
      <c r="G141" s="13">
        <v>2692.6619999999998</v>
      </c>
      <c r="H141" s="14">
        <v>261.483</v>
      </c>
      <c r="I141" s="14">
        <v>295.899</v>
      </c>
      <c r="J141" s="14">
        <v>197.03899999999999</v>
      </c>
      <c r="K141" s="14">
        <v>44.764000000000003</v>
      </c>
    </row>
    <row r="142" spans="1:11" x14ac:dyDescent="0.35">
      <c r="A142" s="3">
        <v>29952</v>
      </c>
      <c r="B142" s="4">
        <v>3274.3020000000001</v>
      </c>
      <c r="C142" s="4">
        <v>234.08</v>
      </c>
      <c r="D142" s="4">
        <v>2727.8380000000002</v>
      </c>
      <c r="E142" s="21">
        <f>(I142+J142)/D142</f>
        <v>0.18227145453652305</v>
      </c>
      <c r="F142" s="12">
        <f>K142/C142</f>
        <v>0.14304511278195489</v>
      </c>
      <c r="G142" s="13">
        <v>2727.8380000000002</v>
      </c>
      <c r="H142" s="14">
        <v>265.22899999999998</v>
      </c>
      <c r="I142" s="14">
        <v>295.21300000000002</v>
      </c>
      <c r="J142" s="14">
        <v>201.994</v>
      </c>
      <c r="K142" s="14">
        <v>33.484000000000002</v>
      </c>
    </row>
    <row r="143" spans="1:11" x14ac:dyDescent="0.35">
      <c r="A143" s="3">
        <v>30042</v>
      </c>
      <c r="B143" s="4">
        <v>3331.9720000000002</v>
      </c>
      <c r="C143" s="4">
        <v>238.1</v>
      </c>
      <c r="D143" s="4">
        <v>2772.2820000000002</v>
      </c>
      <c r="E143" s="21">
        <f>(I143+J143)/D143</f>
        <v>0.18240352171965188</v>
      </c>
      <c r="F143" s="12">
        <f>K143/C143</f>
        <v>0.14588828223435529</v>
      </c>
      <c r="G143" s="13">
        <v>2772.2820000000002</v>
      </c>
      <c r="H143" s="14">
        <v>272.21699999999998</v>
      </c>
      <c r="I143" s="14">
        <v>301.66899999999998</v>
      </c>
      <c r="J143" s="14">
        <v>204.005</v>
      </c>
      <c r="K143" s="14">
        <v>34.735999999999997</v>
      </c>
    </row>
    <row r="144" spans="1:11" x14ac:dyDescent="0.35">
      <c r="A144" s="3">
        <v>30133</v>
      </c>
      <c r="B144" s="4">
        <v>3366.3220000000001</v>
      </c>
      <c r="C144" s="4">
        <v>233.94</v>
      </c>
      <c r="D144" s="4">
        <v>2812.4679999999998</v>
      </c>
      <c r="E144" s="21">
        <f>(I144+J144)/D144</f>
        <v>0.17635720655310569</v>
      </c>
      <c r="F144" s="12">
        <f>K144/C144</f>
        <v>0.15142344190818158</v>
      </c>
      <c r="G144" s="13">
        <v>2812.4679999999998</v>
      </c>
      <c r="H144" s="14">
        <v>287.52100000000002</v>
      </c>
      <c r="I144" s="14">
        <v>289.73700000000002</v>
      </c>
      <c r="J144" s="14">
        <v>206.262</v>
      </c>
      <c r="K144" s="14">
        <v>35.423999999999999</v>
      </c>
    </row>
    <row r="145" spans="1:11" x14ac:dyDescent="0.35">
      <c r="A145" s="3">
        <v>30225</v>
      </c>
      <c r="B145" s="4">
        <v>3402.5610000000001</v>
      </c>
      <c r="C145" s="4">
        <v>223.19</v>
      </c>
      <c r="D145" s="4">
        <v>2853.8009999999999</v>
      </c>
      <c r="E145" s="21">
        <f>(I145+J145)/D145</f>
        <v>0.17622392030838871</v>
      </c>
      <c r="F145" s="12">
        <f>K145/C145</f>
        <v>0.14213898472153771</v>
      </c>
      <c r="G145" s="13">
        <v>2853.8009999999999</v>
      </c>
      <c r="H145" s="14">
        <v>302.56099999999998</v>
      </c>
      <c r="I145" s="14">
        <v>295.76499999999999</v>
      </c>
      <c r="J145" s="14">
        <v>207.143</v>
      </c>
      <c r="K145" s="14">
        <v>31.724</v>
      </c>
    </row>
    <row r="146" spans="1:11" x14ac:dyDescent="0.35">
      <c r="A146" s="3">
        <v>30317</v>
      </c>
      <c r="B146" s="4">
        <v>3473.413</v>
      </c>
      <c r="C146" s="4">
        <v>226.41</v>
      </c>
      <c r="D146" s="4">
        <v>2892.3989999999999</v>
      </c>
      <c r="E146" s="21">
        <f>(I146+J146)/D146</f>
        <v>0.17439502641233109</v>
      </c>
      <c r="F146" s="12">
        <f>K146/C146</f>
        <v>0.15137140585663178</v>
      </c>
      <c r="G146" s="13">
        <v>2892.3989999999999</v>
      </c>
      <c r="H146" s="14">
        <v>302.18200000000002</v>
      </c>
      <c r="I146" s="14">
        <v>289.53800000000001</v>
      </c>
      <c r="J146" s="14">
        <v>214.88200000000001</v>
      </c>
      <c r="K146" s="14">
        <v>34.271999999999998</v>
      </c>
    </row>
    <row r="147" spans="1:11" x14ac:dyDescent="0.35">
      <c r="A147" s="3">
        <v>30407</v>
      </c>
      <c r="B147" s="4">
        <v>3578.848</v>
      </c>
      <c r="C147" s="4">
        <v>260.69400000000002</v>
      </c>
      <c r="D147" s="4">
        <v>2942.0740000000001</v>
      </c>
      <c r="E147" s="21">
        <f>(I147+J147)/D147</f>
        <v>0.17476582845978719</v>
      </c>
      <c r="F147" s="12">
        <f>K147/C147</f>
        <v>0.17743407980237366</v>
      </c>
      <c r="G147" s="13">
        <v>2942.0740000000001</v>
      </c>
      <c r="H147" s="14">
        <v>307.40600000000001</v>
      </c>
      <c r="I147" s="14">
        <v>295.28199999999998</v>
      </c>
      <c r="J147" s="14">
        <v>218.892</v>
      </c>
      <c r="K147" s="14">
        <v>46.256</v>
      </c>
    </row>
    <row r="148" spans="1:11" x14ac:dyDescent="0.35">
      <c r="A148" s="3">
        <v>30498</v>
      </c>
      <c r="B148" s="4">
        <v>3689.1790000000001</v>
      </c>
      <c r="C148" s="4">
        <v>280.50299999999999</v>
      </c>
      <c r="D148" s="4">
        <v>3001.1860000000001</v>
      </c>
      <c r="E148" s="21">
        <f>(I148+J148)/D148</f>
        <v>0.16688369198043707</v>
      </c>
      <c r="F148" s="12">
        <f>K148/C148</f>
        <v>0.19005857334859164</v>
      </c>
      <c r="G148" s="13">
        <v>3001.1860000000001</v>
      </c>
      <c r="H148" s="14">
        <v>301.31400000000002</v>
      </c>
      <c r="I148" s="14">
        <v>277.34199999999998</v>
      </c>
      <c r="J148" s="14">
        <v>223.50700000000001</v>
      </c>
      <c r="K148" s="14">
        <v>53.311999999999998</v>
      </c>
    </row>
    <row r="149" spans="1:11" x14ac:dyDescent="0.35">
      <c r="A149" s="3">
        <v>30590</v>
      </c>
      <c r="B149" s="4">
        <v>3794.7060000000001</v>
      </c>
      <c r="C149" s="4">
        <v>287.94200000000001</v>
      </c>
      <c r="D149" s="4">
        <v>3088.57</v>
      </c>
      <c r="E149" s="21">
        <f>(I149+J149)/D149</f>
        <v>0.16671339810980487</v>
      </c>
      <c r="F149" s="12">
        <f>K149/C149</f>
        <v>0.1897048711198783</v>
      </c>
      <c r="G149" s="13">
        <v>3088.57</v>
      </c>
      <c r="H149" s="14">
        <v>303.47000000000003</v>
      </c>
      <c r="I149" s="14">
        <v>284.93400000000003</v>
      </c>
      <c r="J149" s="14">
        <v>229.97200000000001</v>
      </c>
      <c r="K149" s="14">
        <v>54.624000000000002</v>
      </c>
    </row>
    <row r="150" spans="1:11" x14ac:dyDescent="0.35">
      <c r="A150" s="3">
        <v>30682</v>
      </c>
      <c r="B150" s="4">
        <v>3908.0540000000001</v>
      </c>
      <c r="C150" s="4">
        <v>308.54399999999998</v>
      </c>
      <c r="D150" s="4">
        <v>3178.9490000000001</v>
      </c>
      <c r="E150" s="21">
        <f>(I150+J150)/D150</f>
        <v>0.1676110563585638</v>
      </c>
      <c r="F150" s="12">
        <f>K150/C150</f>
        <v>0.21007052478738852</v>
      </c>
      <c r="G150" s="13">
        <v>3178.9490000000001</v>
      </c>
      <c r="H150" s="14">
        <v>306.37200000000001</v>
      </c>
      <c r="I150" s="14">
        <v>287.88799999999998</v>
      </c>
      <c r="J150" s="14">
        <v>244.93899999999999</v>
      </c>
      <c r="K150" s="14">
        <v>64.816000000000003</v>
      </c>
    </row>
    <row r="151" spans="1:11" x14ac:dyDescent="0.35">
      <c r="A151" s="3">
        <v>30773</v>
      </c>
      <c r="B151" s="4">
        <v>4009.6010000000001</v>
      </c>
      <c r="C151" s="4">
        <v>308.101</v>
      </c>
      <c r="D151" s="4">
        <v>3262.8649999999998</v>
      </c>
      <c r="E151" s="21">
        <f>(I151+J151)/D151</f>
        <v>0.16715064827996257</v>
      </c>
      <c r="F151" s="12">
        <f>K151/C151</f>
        <v>0.20707495269408407</v>
      </c>
      <c r="G151" s="13">
        <v>3262.8649999999998</v>
      </c>
      <c r="H151" s="14">
        <v>308.38</v>
      </c>
      <c r="I151" s="14">
        <v>294.596</v>
      </c>
      <c r="J151" s="14">
        <v>250.79400000000001</v>
      </c>
      <c r="K151" s="14">
        <v>63.8</v>
      </c>
    </row>
    <row r="152" spans="1:11" x14ac:dyDescent="0.35">
      <c r="A152" s="3">
        <v>30864</v>
      </c>
      <c r="B152" s="4">
        <v>4084.25</v>
      </c>
      <c r="C152" s="4">
        <v>287.03699999999998</v>
      </c>
      <c r="D152" s="4">
        <v>3337.375</v>
      </c>
      <c r="E152" s="21">
        <f>(I152+J152)/D152</f>
        <v>0.16872062624068315</v>
      </c>
      <c r="F152" s="12">
        <f>K152/C152</f>
        <v>0.18734866933531219</v>
      </c>
      <c r="G152" s="13">
        <v>3337.375</v>
      </c>
      <c r="H152" s="14">
        <v>309.13200000000001</v>
      </c>
      <c r="I152" s="14">
        <v>307.33999999999997</v>
      </c>
      <c r="J152" s="14">
        <v>255.744</v>
      </c>
      <c r="K152" s="14">
        <v>53.776000000000003</v>
      </c>
    </row>
    <row r="153" spans="1:11" x14ac:dyDescent="0.35">
      <c r="A153" s="3">
        <v>30956</v>
      </c>
      <c r="B153" s="4">
        <v>4148.5510000000004</v>
      </c>
      <c r="C153" s="4">
        <v>289.279</v>
      </c>
      <c r="D153" s="4">
        <v>3391.6840000000002</v>
      </c>
      <c r="E153" s="21">
        <f>(I153+J153)/D153</f>
        <v>0.17025288912528405</v>
      </c>
      <c r="F153" s="12">
        <f>K153/C153</f>
        <v>0.18786016268031899</v>
      </c>
      <c r="G153" s="13">
        <v>3391.6840000000002</v>
      </c>
      <c r="H153" s="14">
        <v>315.07600000000002</v>
      </c>
      <c r="I153" s="14">
        <v>317.74799999999999</v>
      </c>
      <c r="J153" s="14">
        <v>259.69600000000003</v>
      </c>
      <c r="K153" s="14">
        <v>54.344000000000001</v>
      </c>
    </row>
    <row r="154" spans="1:11" x14ac:dyDescent="0.35">
      <c r="A154" s="3">
        <v>31048</v>
      </c>
      <c r="B154" s="4">
        <v>4230.1679999999997</v>
      </c>
      <c r="C154" s="4">
        <v>285.27999999999997</v>
      </c>
      <c r="D154" s="4">
        <v>3455.4059999999999</v>
      </c>
      <c r="E154" s="21">
        <f>(I154+J154)/D154</f>
        <v>0.18019069249749523</v>
      </c>
      <c r="F154" s="12">
        <f>K154/C154</f>
        <v>0.20238362310712282</v>
      </c>
      <c r="G154" s="13">
        <v>3455.4059999999999</v>
      </c>
      <c r="H154" s="14">
        <v>323.20600000000002</v>
      </c>
      <c r="I154" s="14">
        <v>353.01799999999997</v>
      </c>
      <c r="J154" s="14">
        <v>269.61399999999998</v>
      </c>
      <c r="K154" s="14">
        <v>57.735999999999997</v>
      </c>
    </row>
    <row r="155" spans="1:11" x14ac:dyDescent="0.35">
      <c r="A155" s="3">
        <v>31138</v>
      </c>
      <c r="B155" s="4">
        <v>4294.8869999999997</v>
      </c>
      <c r="C155" s="4">
        <v>284.66199999999998</v>
      </c>
      <c r="D155" s="4">
        <v>3495.4989999999998</v>
      </c>
      <c r="E155" s="21">
        <f>(I155+J155)/D155</f>
        <v>0.16625723537612228</v>
      </c>
      <c r="F155" s="12">
        <f>K155/C155</f>
        <v>0.197890831934013</v>
      </c>
      <c r="G155" s="13">
        <v>3495.4989999999998</v>
      </c>
      <c r="H155" s="14">
        <v>324.154</v>
      </c>
      <c r="I155" s="14">
        <v>307.58199999999999</v>
      </c>
      <c r="J155" s="14">
        <v>273.57</v>
      </c>
      <c r="K155" s="14">
        <v>56.332000000000001</v>
      </c>
    </row>
    <row r="156" spans="1:11" x14ac:dyDescent="0.35">
      <c r="A156" s="3">
        <v>31229</v>
      </c>
      <c r="B156" s="4">
        <v>4386.7730000000001</v>
      </c>
      <c r="C156" s="4">
        <v>294.63</v>
      </c>
      <c r="D156" s="4">
        <v>3543.0749999999998</v>
      </c>
      <c r="E156" s="21">
        <f>(I156+J156)/D156</f>
        <v>0.17451733310754078</v>
      </c>
      <c r="F156" s="12">
        <f>K156/C156</f>
        <v>0.20645555442419306</v>
      </c>
      <c r="G156" s="13">
        <v>3543.0749999999998</v>
      </c>
      <c r="H156" s="14">
        <v>327.53800000000001</v>
      </c>
      <c r="I156" s="14">
        <v>340.03</v>
      </c>
      <c r="J156" s="14">
        <v>278.298</v>
      </c>
      <c r="K156" s="14">
        <v>60.828000000000003</v>
      </c>
    </row>
    <row r="157" spans="1:11" x14ac:dyDescent="0.35">
      <c r="A157" s="3">
        <v>31321</v>
      </c>
      <c r="B157" s="4">
        <v>4444.0940000000001</v>
      </c>
      <c r="C157" s="4">
        <v>294.02499999999998</v>
      </c>
      <c r="D157" s="4">
        <v>3605.5390000000002</v>
      </c>
      <c r="E157" s="21">
        <f>(I157+J157)/D157</f>
        <v>0.17463020092141562</v>
      </c>
      <c r="F157" s="12">
        <f>K157/C157</f>
        <v>0.2005951874840575</v>
      </c>
      <c r="G157" s="13">
        <v>3605.5390000000002</v>
      </c>
      <c r="H157" s="14">
        <v>328.51</v>
      </c>
      <c r="I157" s="14">
        <v>345.18200000000002</v>
      </c>
      <c r="J157" s="14">
        <v>284.45400000000001</v>
      </c>
      <c r="K157" s="14">
        <v>58.98</v>
      </c>
    </row>
    <row r="158" spans="1:11" x14ac:dyDescent="0.35">
      <c r="A158" s="3">
        <v>31413</v>
      </c>
      <c r="B158" s="4">
        <v>4507.8940000000002</v>
      </c>
      <c r="C158" s="4">
        <v>264.68</v>
      </c>
      <c r="D158" s="4">
        <v>3667.6129999999998</v>
      </c>
      <c r="E158" s="21">
        <f>(I158+J158)/D158</f>
        <v>0.17260272553292835</v>
      </c>
      <c r="F158" s="12">
        <f>K158/C158</f>
        <v>0.23805349856430408</v>
      </c>
      <c r="G158" s="13">
        <v>3667.6129999999998</v>
      </c>
      <c r="H158" s="14">
        <v>338.32900000000001</v>
      </c>
      <c r="I158" s="14">
        <v>341.82499999999999</v>
      </c>
      <c r="J158" s="14">
        <v>291.21499999999997</v>
      </c>
      <c r="K158" s="14">
        <v>63.008000000000003</v>
      </c>
    </row>
    <row r="159" spans="1:11" x14ac:dyDescent="0.35">
      <c r="A159" s="3">
        <v>31503</v>
      </c>
      <c r="B159" s="4">
        <v>4545.34</v>
      </c>
      <c r="C159" s="4">
        <v>261.37299999999999</v>
      </c>
      <c r="D159" s="4">
        <v>3708.7750000000001</v>
      </c>
      <c r="E159" s="21">
        <f>(I159+J159)/D159</f>
        <v>0.17230379303139176</v>
      </c>
      <c r="F159" s="12">
        <f>K159/C159</f>
        <v>0.24268765327711739</v>
      </c>
      <c r="G159" s="13">
        <v>3708.7750000000001</v>
      </c>
      <c r="H159" s="14">
        <v>341.99299999999999</v>
      </c>
      <c r="I159" s="14">
        <v>344.40499999999997</v>
      </c>
      <c r="J159" s="14">
        <v>294.63099999999997</v>
      </c>
      <c r="K159" s="14">
        <v>63.432000000000002</v>
      </c>
    </row>
    <row r="160" spans="1:11" x14ac:dyDescent="0.35">
      <c r="A160" s="3">
        <v>31594</v>
      </c>
      <c r="B160" s="4">
        <v>4607.6689999999999</v>
      </c>
      <c r="C160" s="4">
        <v>261.50299999999999</v>
      </c>
      <c r="D160" s="4">
        <v>3757.134</v>
      </c>
      <c r="E160" s="21">
        <f>(I160+J160)/D160</f>
        <v>0.17335926799523255</v>
      </c>
      <c r="F160" s="12">
        <f>K160/C160</f>
        <v>0.24688053291931644</v>
      </c>
      <c r="G160" s="13">
        <v>3757.134</v>
      </c>
      <c r="H160" s="14">
        <v>347.79700000000003</v>
      </c>
      <c r="I160" s="14">
        <v>351.97300000000001</v>
      </c>
      <c r="J160" s="14">
        <v>299.36099999999999</v>
      </c>
      <c r="K160" s="14">
        <v>64.56</v>
      </c>
    </row>
    <row r="161" spans="1:11" x14ac:dyDescent="0.35">
      <c r="A161" s="3">
        <v>31686</v>
      </c>
      <c r="B161" s="4">
        <v>4657.6270000000004</v>
      </c>
      <c r="C161" s="4">
        <v>277.22000000000003</v>
      </c>
      <c r="D161" s="4">
        <v>3798.8119999999999</v>
      </c>
      <c r="E161" s="21">
        <f>(I161+J161)/D161</f>
        <v>0.17608610270789921</v>
      </c>
      <c r="F161" s="12">
        <f>K161/C161</f>
        <v>0.26364620157275803</v>
      </c>
      <c r="G161" s="13">
        <v>3798.8119999999999</v>
      </c>
      <c r="H161" s="14">
        <v>348.93299999999999</v>
      </c>
      <c r="I161" s="14">
        <v>364.20100000000002</v>
      </c>
      <c r="J161" s="14">
        <v>304.71699999999998</v>
      </c>
      <c r="K161" s="14">
        <v>73.087999999999994</v>
      </c>
    </row>
    <row r="162" spans="1:11" x14ac:dyDescent="0.35">
      <c r="A162" s="3">
        <v>31778</v>
      </c>
      <c r="B162" s="4">
        <v>4722.1559999999999</v>
      </c>
      <c r="C162" s="4">
        <v>289.37400000000002</v>
      </c>
      <c r="D162" s="4">
        <v>3855.989</v>
      </c>
      <c r="E162" s="21">
        <f>(I162+J162)/D162</f>
        <v>0.17311512040101773</v>
      </c>
      <c r="F162" s="12">
        <f>K162/C162</f>
        <v>0.26275684753986189</v>
      </c>
      <c r="G162" s="13">
        <v>3855.989</v>
      </c>
      <c r="H162" s="14">
        <v>353.553</v>
      </c>
      <c r="I162" s="14">
        <v>358.34100000000001</v>
      </c>
      <c r="J162" s="14">
        <v>309.18900000000002</v>
      </c>
      <c r="K162" s="14">
        <v>76.034999999999997</v>
      </c>
    </row>
    <row r="163" spans="1:11" x14ac:dyDescent="0.35">
      <c r="A163" s="3">
        <v>31868</v>
      </c>
      <c r="B163" s="4">
        <v>4806.16</v>
      </c>
      <c r="C163" s="4">
        <v>330.45699999999999</v>
      </c>
      <c r="D163" s="4">
        <v>3917.5189999999998</v>
      </c>
      <c r="E163" s="21">
        <f>(I163+J163)/D163</f>
        <v>0.18460791128262558</v>
      </c>
      <c r="F163" s="12">
        <f>K163/C163</f>
        <v>0.26407974411194196</v>
      </c>
      <c r="G163" s="13">
        <v>3917.5189999999998</v>
      </c>
      <c r="H163" s="14">
        <v>357.58499999999998</v>
      </c>
      <c r="I163" s="14">
        <v>410.21300000000002</v>
      </c>
      <c r="J163" s="14">
        <v>312.99200000000002</v>
      </c>
      <c r="K163" s="14">
        <v>87.266999999999996</v>
      </c>
    </row>
    <row r="164" spans="1:11" x14ac:dyDescent="0.35">
      <c r="A164" s="3">
        <v>31959</v>
      </c>
      <c r="B164" s="4">
        <v>4884.5550000000003</v>
      </c>
      <c r="C164" s="4">
        <v>350.053</v>
      </c>
      <c r="D164" s="4">
        <v>3988.5459999999998</v>
      </c>
      <c r="E164" s="21">
        <f>(I164+J164)/D164</f>
        <v>0.17858387492585018</v>
      </c>
      <c r="F164" s="12">
        <f>K164/C164</f>
        <v>0.26095191299603199</v>
      </c>
      <c r="G164" s="13">
        <v>3988.5459999999998</v>
      </c>
      <c r="H164" s="14">
        <v>357.89299999999997</v>
      </c>
      <c r="I164" s="14">
        <v>394.85300000000001</v>
      </c>
      <c r="J164" s="14">
        <v>317.43700000000001</v>
      </c>
      <c r="K164" s="14">
        <v>91.346999999999994</v>
      </c>
    </row>
    <row r="165" spans="1:11" x14ac:dyDescent="0.35">
      <c r="A165" s="3">
        <v>32051</v>
      </c>
      <c r="B165" s="4">
        <v>5007.9939999999997</v>
      </c>
      <c r="C165" s="4">
        <v>353.27800000000002</v>
      </c>
      <c r="D165" s="4">
        <v>4084.3429999999998</v>
      </c>
      <c r="E165" s="21">
        <f>(I165+J165)/D165</f>
        <v>0.17935491705765164</v>
      </c>
      <c r="F165" s="12">
        <f>K165/C165</f>
        <v>0.24667825338685115</v>
      </c>
      <c r="G165" s="13">
        <v>4084.3429999999998</v>
      </c>
      <c r="H165" s="14">
        <v>359.71699999999998</v>
      </c>
      <c r="I165" s="14">
        <v>408.541</v>
      </c>
      <c r="J165" s="14">
        <v>324.00599999999997</v>
      </c>
      <c r="K165" s="14">
        <v>87.146000000000001</v>
      </c>
    </row>
    <row r="166" spans="1:11" x14ac:dyDescent="0.35">
      <c r="A166" s="3">
        <v>32143</v>
      </c>
      <c r="B166" s="4">
        <v>5073.3720000000003</v>
      </c>
      <c r="C166" s="4">
        <v>362.23</v>
      </c>
      <c r="D166" s="4">
        <v>4160.5789999999997</v>
      </c>
      <c r="E166" s="21">
        <f>(I166+J166)/D166</f>
        <v>0.17923130410454891</v>
      </c>
      <c r="F166" s="12">
        <f>K166/C166</f>
        <v>0.23337382326146369</v>
      </c>
      <c r="G166" s="13">
        <v>4160.5789999999997</v>
      </c>
      <c r="H166" s="14">
        <v>375.041</v>
      </c>
      <c r="I166" s="14">
        <v>402.64499999999998</v>
      </c>
      <c r="J166" s="14">
        <v>343.06099999999998</v>
      </c>
      <c r="K166" s="14">
        <v>84.534999999999997</v>
      </c>
    </row>
    <row r="167" spans="1:11" x14ac:dyDescent="0.35">
      <c r="A167" s="3">
        <v>32234</v>
      </c>
      <c r="B167" s="4">
        <v>5190.0360000000001</v>
      </c>
      <c r="C167" s="4">
        <v>385.18099999999998</v>
      </c>
      <c r="D167" s="4">
        <v>4234.8069999999998</v>
      </c>
      <c r="E167" s="21">
        <f>(I167+J167)/D167</f>
        <v>0.17724585795763539</v>
      </c>
      <c r="F167" s="12">
        <f>K167/C167</f>
        <v>0.23378100165896035</v>
      </c>
      <c r="G167" s="13">
        <v>4234.8069999999998</v>
      </c>
      <c r="H167" s="14">
        <v>376.09300000000002</v>
      </c>
      <c r="I167" s="14">
        <v>400.58499999999998</v>
      </c>
      <c r="J167" s="14">
        <v>350.017</v>
      </c>
      <c r="K167" s="14">
        <v>90.048000000000002</v>
      </c>
    </row>
    <row r="168" spans="1:11" x14ac:dyDescent="0.35">
      <c r="A168" s="3">
        <v>32325</v>
      </c>
      <c r="B168" s="4">
        <v>5282.835</v>
      </c>
      <c r="C168" s="4">
        <v>393.78199999999998</v>
      </c>
      <c r="D168" s="4">
        <v>4326.2969999999996</v>
      </c>
      <c r="E168" s="21">
        <f>(I168+J168)/D168</f>
        <v>0.17532869333751244</v>
      </c>
      <c r="F168" s="12">
        <f>K168/C168</f>
        <v>0.24826680752294419</v>
      </c>
      <c r="G168" s="13">
        <v>4326.2969999999996</v>
      </c>
      <c r="H168" s="14">
        <v>379.34100000000001</v>
      </c>
      <c r="I168" s="14">
        <v>402.529</v>
      </c>
      <c r="J168" s="14">
        <v>355.995</v>
      </c>
      <c r="K168" s="14">
        <v>97.763000000000005</v>
      </c>
    </row>
    <row r="169" spans="1:11" x14ac:dyDescent="0.35">
      <c r="A169" s="3">
        <v>32417</v>
      </c>
      <c r="B169" s="4">
        <v>5399.509</v>
      </c>
      <c r="C169" s="4">
        <v>412.23099999999999</v>
      </c>
      <c r="D169" s="4">
        <v>4411.9049999999997</v>
      </c>
      <c r="E169" s="21">
        <f>(I169+J169)/D169</f>
        <v>0.17520050862382577</v>
      </c>
      <c r="F169" s="12">
        <f>K169/C169</f>
        <v>0.24913701298543778</v>
      </c>
      <c r="G169" s="13">
        <v>4411.9049999999997</v>
      </c>
      <c r="H169" s="14">
        <v>382.97699999999998</v>
      </c>
      <c r="I169" s="14">
        <v>409.62099999999998</v>
      </c>
      <c r="J169" s="14">
        <v>363.34699999999998</v>
      </c>
      <c r="K169" s="14">
        <v>102.702</v>
      </c>
    </row>
    <row r="170" spans="1:11" x14ac:dyDescent="0.35">
      <c r="A170" s="3">
        <v>32509</v>
      </c>
      <c r="B170" s="4">
        <v>5511.2529999999997</v>
      </c>
      <c r="C170" s="4">
        <v>412.27</v>
      </c>
      <c r="D170" s="4">
        <v>4537.232</v>
      </c>
      <c r="E170" s="21">
        <f>(I170+J170)/D170</f>
        <v>0.17825427485303813</v>
      </c>
      <c r="F170" s="12">
        <f>K170/C170</f>
        <v>0.25441094428408567</v>
      </c>
      <c r="G170" s="13">
        <v>4537.232</v>
      </c>
      <c r="H170" s="14">
        <v>403.92700000000002</v>
      </c>
      <c r="I170" s="14">
        <v>439.50700000000001</v>
      </c>
      <c r="J170" s="14">
        <v>369.274</v>
      </c>
      <c r="K170" s="14">
        <v>104.886</v>
      </c>
    </row>
    <row r="171" spans="1:11" x14ac:dyDescent="0.35">
      <c r="A171" s="3">
        <v>32599</v>
      </c>
      <c r="B171" s="4">
        <v>5612.4629999999997</v>
      </c>
      <c r="C171" s="4">
        <v>391.61</v>
      </c>
      <c r="D171" s="4">
        <v>4592.8919999999998</v>
      </c>
      <c r="E171" s="21">
        <f>(I171+J171)/D171</f>
        <v>0.17901052321717995</v>
      </c>
      <c r="F171" s="12">
        <f>K171/C171</f>
        <v>0.2411531881208345</v>
      </c>
      <c r="G171" s="13">
        <v>4592.8919999999998</v>
      </c>
      <c r="H171" s="14">
        <v>408.34300000000002</v>
      </c>
      <c r="I171" s="14">
        <v>448.42700000000002</v>
      </c>
      <c r="J171" s="14">
        <v>373.74900000000002</v>
      </c>
      <c r="K171" s="14">
        <v>94.438000000000002</v>
      </c>
    </row>
    <row r="172" spans="1:11" x14ac:dyDescent="0.35">
      <c r="A172" s="3">
        <v>32690</v>
      </c>
      <c r="B172" s="4">
        <v>5695.3649999999998</v>
      </c>
      <c r="C172" s="4">
        <v>376.84300000000002</v>
      </c>
      <c r="D172" s="4">
        <v>4648.5020000000004</v>
      </c>
      <c r="E172" s="21">
        <f>(I172+J172)/D172</f>
        <v>0.17967874381897653</v>
      </c>
      <c r="F172" s="12">
        <f>K172/C172</f>
        <v>0.24301101519731028</v>
      </c>
      <c r="G172" s="13">
        <v>4648.5020000000004</v>
      </c>
      <c r="H172" s="14">
        <v>413.68700000000001</v>
      </c>
      <c r="I172" s="14">
        <v>457.06700000000001</v>
      </c>
      <c r="J172" s="14">
        <v>378.17</v>
      </c>
      <c r="K172" s="14">
        <v>91.576999999999998</v>
      </c>
    </row>
    <row r="173" spans="1:11" x14ac:dyDescent="0.35">
      <c r="A173" s="3">
        <v>32782</v>
      </c>
      <c r="B173" s="4">
        <v>5747.2370000000001</v>
      </c>
      <c r="C173" s="4">
        <v>376.892</v>
      </c>
      <c r="D173" s="4">
        <v>4723.6580000000004</v>
      </c>
      <c r="E173" s="21">
        <f>(I173+J173)/D173</f>
        <v>0.18020229237595098</v>
      </c>
      <c r="F173" s="12">
        <f>K173/C173</f>
        <v>0.24243284548358679</v>
      </c>
      <c r="G173" s="13">
        <v>4723.6580000000004</v>
      </c>
      <c r="H173" s="14">
        <v>420.93099999999998</v>
      </c>
      <c r="I173" s="14">
        <v>467.37900000000002</v>
      </c>
      <c r="J173" s="14">
        <v>383.83499999999998</v>
      </c>
      <c r="K173" s="14">
        <v>91.370999999999995</v>
      </c>
    </row>
    <row r="174" spans="1:11" x14ac:dyDescent="0.35">
      <c r="A174" s="3">
        <v>32874</v>
      </c>
      <c r="B174" s="4">
        <v>5872.701</v>
      </c>
      <c r="C174" s="4">
        <v>385.62299999999999</v>
      </c>
      <c r="D174" s="4">
        <v>4818.8609999999999</v>
      </c>
      <c r="E174" s="21">
        <f>(I174+J174)/D174</f>
        <v>0.17748550954260769</v>
      </c>
      <c r="F174" s="12">
        <f>K174/C174</f>
        <v>0.23611143526190087</v>
      </c>
      <c r="G174" s="13">
        <v>4818.8609999999999</v>
      </c>
      <c r="H174" s="14">
        <v>437.452</v>
      </c>
      <c r="I174" s="14">
        <v>463.17200000000003</v>
      </c>
      <c r="J174" s="14">
        <v>392.10599999999999</v>
      </c>
      <c r="K174" s="14">
        <v>91.05</v>
      </c>
    </row>
    <row r="175" spans="1:11" x14ac:dyDescent="0.35">
      <c r="A175" s="3">
        <v>32964</v>
      </c>
      <c r="B175" s="4">
        <v>5960.0280000000002</v>
      </c>
      <c r="C175" s="4">
        <v>404.00900000000001</v>
      </c>
      <c r="D175" s="4">
        <v>4899.2129999999997</v>
      </c>
      <c r="E175" s="21">
        <f>(I175+J175)/D175</f>
        <v>0.1773815508735791</v>
      </c>
      <c r="F175" s="12">
        <f>K175/C175</f>
        <v>0.23430171110049527</v>
      </c>
      <c r="G175" s="13">
        <v>4899.2129999999997</v>
      </c>
      <c r="H175" s="14">
        <v>443.35599999999999</v>
      </c>
      <c r="I175" s="14">
        <v>472.02800000000002</v>
      </c>
      <c r="J175" s="14">
        <v>397.00200000000001</v>
      </c>
      <c r="K175" s="14">
        <v>94.66</v>
      </c>
    </row>
    <row r="176" spans="1:11" x14ac:dyDescent="0.35">
      <c r="A176" s="3">
        <v>33055</v>
      </c>
      <c r="B176" s="4">
        <v>6015.116</v>
      </c>
      <c r="C176" s="4">
        <v>413.339</v>
      </c>
      <c r="D176" s="4">
        <v>4958.5129999999999</v>
      </c>
      <c r="E176" s="21">
        <f>(I176+J176)/D176</f>
        <v>0.17774744162211537</v>
      </c>
      <c r="F176" s="12">
        <f>K176/C176</f>
        <v>0.23457017121539461</v>
      </c>
      <c r="G176" s="13">
        <v>4958.5129999999999</v>
      </c>
      <c r="H176" s="14">
        <v>447.87200000000001</v>
      </c>
      <c r="I176" s="14">
        <v>477.00400000000002</v>
      </c>
      <c r="J176" s="14">
        <v>404.35899999999998</v>
      </c>
      <c r="K176" s="14">
        <v>96.956999999999994</v>
      </c>
    </row>
    <row r="177" spans="1:11" x14ac:dyDescent="0.35">
      <c r="A177" s="3">
        <v>33147</v>
      </c>
      <c r="B177" s="4">
        <v>6004.7330000000002</v>
      </c>
      <c r="C177" s="4">
        <v>413.23399999999998</v>
      </c>
      <c r="D177" s="4">
        <v>4978.5640000000003</v>
      </c>
      <c r="E177" s="21">
        <f>(I177+J177)/D177</f>
        <v>0.17737182850315875</v>
      </c>
      <c r="F177" s="12">
        <f>K177/C177</f>
        <v>0.23081595415672476</v>
      </c>
      <c r="G177" s="13">
        <v>4978.5640000000003</v>
      </c>
      <c r="H177" s="14">
        <v>459.39600000000002</v>
      </c>
      <c r="I177" s="14">
        <v>476.23200000000003</v>
      </c>
      <c r="J177" s="14">
        <v>406.82499999999999</v>
      </c>
      <c r="K177" s="14">
        <v>95.381</v>
      </c>
    </row>
    <row r="178" spans="1:11" x14ac:dyDescent="0.35">
      <c r="A178" s="3">
        <v>33239</v>
      </c>
      <c r="B178" s="4">
        <v>6035.1779999999999</v>
      </c>
      <c r="C178" s="4">
        <v>423.45</v>
      </c>
      <c r="D178" s="4">
        <v>4992.4669999999996</v>
      </c>
      <c r="E178" s="21">
        <f>(I178+J178)/D178</f>
        <v>0.17417761599625997</v>
      </c>
      <c r="F178" s="12">
        <f>K178/C178</f>
        <v>0.21607509741409847</v>
      </c>
      <c r="G178" s="13">
        <v>4992.4669999999996</v>
      </c>
      <c r="H178" s="14">
        <v>481.012</v>
      </c>
      <c r="I178" s="14">
        <v>459.56799999999998</v>
      </c>
      <c r="J178" s="14">
        <v>410.00799999999998</v>
      </c>
      <c r="K178" s="14">
        <v>91.497</v>
      </c>
    </row>
    <row r="179" spans="1:11" x14ac:dyDescent="0.35">
      <c r="A179" s="3">
        <v>33329</v>
      </c>
      <c r="B179" s="4">
        <v>6126.8620000000001</v>
      </c>
      <c r="C179" s="4">
        <v>425.44900000000001</v>
      </c>
      <c r="D179" s="4">
        <v>5054.0940000000001</v>
      </c>
      <c r="E179" s="21">
        <f>(I179+J179)/D179</f>
        <v>0.17365921567742904</v>
      </c>
      <c r="F179" s="12">
        <f>K179/C179</f>
        <v>0.20558750872607526</v>
      </c>
      <c r="G179" s="13">
        <v>5054.0940000000001</v>
      </c>
      <c r="H179" s="14">
        <v>491.28800000000001</v>
      </c>
      <c r="I179" s="14">
        <v>461.44799999999998</v>
      </c>
      <c r="J179" s="14">
        <v>416.24200000000002</v>
      </c>
      <c r="K179" s="14">
        <v>87.466999999999999</v>
      </c>
    </row>
    <row r="180" spans="1:11" x14ac:dyDescent="0.35">
      <c r="A180" s="3">
        <v>33420</v>
      </c>
      <c r="B180" s="4">
        <v>6205.9369999999999</v>
      </c>
      <c r="C180" s="4">
        <v>431.73200000000003</v>
      </c>
      <c r="D180" s="4">
        <v>5107.067</v>
      </c>
      <c r="E180" s="21">
        <f>(I180+J180)/D180</f>
        <v>0.17344475801864356</v>
      </c>
      <c r="F180" s="12">
        <f>K180/C180</f>
        <v>0.2042216004373083</v>
      </c>
      <c r="G180" s="13">
        <v>5107.067</v>
      </c>
      <c r="H180" s="14">
        <v>495.12400000000002</v>
      </c>
      <c r="I180" s="14">
        <v>464.13200000000001</v>
      </c>
      <c r="J180" s="14">
        <v>421.66199999999998</v>
      </c>
      <c r="K180" s="14">
        <v>88.168999999999997</v>
      </c>
    </row>
    <row r="181" spans="1:11" x14ac:dyDescent="0.35">
      <c r="A181" s="3">
        <v>33512</v>
      </c>
      <c r="B181" s="4">
        <v>6264.54</v>
      </c>
      <c r="C181" s="4">
        <v>436.63799999999998</v>
      </c>
      <c r="D181" s="4">
        <v>5186.0240000000003</v>
      </c>
      <c r="E181" s="21">
        <f>(I181+J181)/D181</f>
        <v>0.17268566439337724</v>
      </c>
      <c r="F181" s="12">
        <f>K181/C181</f>
        <v>0.20497986890742445</v>
      </c>
      <c r="G181" s="13">
        <v>5186.0240000000003</v>
      </c>
      <c r="H181" s="14">
        <v>508.536</v>
      </c>
      <c r="I181" s="14">
        <v>469.21199999999999</v>
      </c>
      <c r="J181" s="14">
        <v>426.34</v>
      </c>
      <c r="K181" s="14">
        <v>89.501999999999995</v>
      </c>
    </row>
    <row r="182" spans="1:11" x14ac:dyDescent="0.35">
      <c r="A182" s="3">
        <v>33604</v>
      </c>
      <c r="B182" s="4">
        <v>6363.1019999999999</v>
      </c>
      <c r="C182" s="4">
        <v>459.017</v>
      </c>
      <c r="D182" s="4">
        <v>5297.8239999999996</v>
      </c>
      <c r="E182" s="21">
        <f>(I182+J182)/D182</f>
        <v>0.16971326340776893</v>
      </c>
      <c r="F182" s="12">
        <f>K182/C182</f>
        <v>0.21745599836171645</v>
      </c>
      <c r="G182" s="13">
        <v>5297.8239999999996</v>
      </c>
      <c r="H182" s="14">
        <v>539.95500000000004</v>
      </c>
      <c r="I182" s="14">
        <v>461.34300000000002</v>
      </c>
      <c r="J182" s="14">
        <v>437.76799999999997</v>
      </c>
      <c r="K182" s="14">
        <v>99.816000000000003</v>
      </c>
    </row>
    <row r="183" spans="1:11" x14ac:dyDescent="0.35">
      <c r="A183" s="3">
        <v>33695</v>
      </c>
      <c r="B183" s="4">
        <v>6470.7629999999999</v>
      </c>
      <c r="C183" s="4">
        <v>473.11900000000003</v>
      </c>
      <c r="D183" s="4">
        <v>5394.3850000000002</v>
      </c>
      <c r="E183" s="21">
        <f>(I183+J183)/D183</f>
        <v>0.16929399736948697</v>
      </c>
      <c r="F183" s="12">
        <f>K183/C183</f>
        <v>0.2156434216338807</v>
      </c>
      <c r="G183" s="13">
        <v>5394.3850000000002</v>
      </c>
      <c r="H183" s="14">
        <v>550.49900000000002</v>
      </c>
      <c r="I183" s="14">
        <v>470.23899999999998</v>
      </c>
      <c r="J183" s="14">
        <v>442.99799999999999</v>
      </c>
      <c r="K183" s="14">
        <v>102.02500000000001</v>
      </c>
    </row>
    <row r="184" spans="1:11" x14ac:dyDescent="0.35">
      <c r="A184" s="3">
        <v>33786</v>
      </c>
      <c r="B184" s="4">
        <v>6566.6409999999996</v>
      </c>
      <c r="C184" s="4">
        <v>451.03399999999999</v>
      </c>
      <c r="D184" s="4">
        <v>5456.2719999999999</v>
      </c>
      <c r="E184" s="21">
        <f>(I184+J184)/D184</f>
        <v>0.16956815935862435</v>
      </c>
      <c r="F184" s="12">
        <f>K184/C184</f>
        <v>0.21932049468554479</v>
      </c>
      <c r="G184" s="13">
        <v>5456.2719999999999</v>
      </c>
      <c r="H184" s="14">
        <v>555.50300000000004</v>
      </c>
      <c r="I184" s="14">
        <v>479.43099999999998</v>
      </c>
      <c r="J184" s="14">
        <v>445.779</v>
      </c>
      <c r="K184" s="14">
        <v>98.921000000000006</v>
      </c>
    </row>
    <row r="185" spans="1:11" x14ac:dyDescent="0.35">
      <c r="A185" s="3">
        <v>33878</v>
      </c>
      <c r="B185" s="4">
        <v>6680.8029999999999</v>
      </c>
      <c r="C185" s="4">
        <v>467.072</v>
      </c>
      <c r="D185" s="4">
        <v>5534.9920000000002</v>
      </c>
      <c r="E185" s="21">
        <f>(I185+J185)/D185</f>
        <v>0.16978199787822637</v>
      </c>
      <c r="F185" s="12">
        <f>K185/C185</f>
        <v>0.22954705056179775</v>
      </c>
      <c r="G185" s="13">
        <v>5534.9920000000002</v>
      </c>
      <c r="H185" s="14">
        <v>561.05899999999997</v>
      </c>
      <c r="I185" s="14">
        <v>498.97500000000002</v>
      </c>
      <c r="J185" s="14">
        <v>440.767</v>
      </c>
      <c r="K185" s="14">
        <v>107.215</v>
      </c>
    </row>
    <row r="186" spans="1:11" x14ac:dyDescent="0.35">
      <c r="A186" s="3">
        <v>33970</v>
      </c>
      <c r="B186" s="4">
        <v>6729.4589999999998</v>
      </c>
      <c r="C186" s="4">
        <v>470.68400000000003</v>
      </c>
      <c r="D186" s="4">
        <v>5560.6909999999998</v>
      </c>
      <c r="E186" s="21">
        <f>(I186+J186)/D186</f>
        <v>0.16909984748298368</v>
      </c>
      <c r="F186" s="12">
        <f>K186/C186</f>
        <v>0.23696365289663551</v>
      </c>
      <c r="G186" s="13">
        <v>5560.6909999999998</v>
      </c>
      <c r="H186" s="14">
        <v>577.64200000000005</v>
      </c>
      <c r="I186" s="14">
        <v>480.339</v>
      </c>
      <c r="J186" s="14">
        <v>459.97300000000001</v>
      </c>
      <c r="K186" s="14">
        <v>111.535</v>
      </c>
    </row>
    <row r="187" spans="1:11" x14ac:dyDescent="0.35">
      <c r="A187" s="3">
        <v>34060</v>
      </c>
      <c r="B187" s="4">
        <v>6808.9390000000003</v>
      </c>
      <c r="C187" s="4">
        <v>497.40199999999999</v>
      </c>
      <c r="D187" s="4">
        <v>5635.8209999999999</v>
      </c>
      <c r="E187" s="21">
        <f>(I187+J187)/D187</f>
        <v>0.1713024597481006</v>
      </c>
      <c r="F187" s="12">
        <f>K187/C187</f>
        <v>0.24510355808782436</v>
      </c>
      <c r="G187" s="13">
        <v>5635.8209999999999</v>
      </c>
      <c r="H187" s="14">
        <v>582.00199999999995</v>
      </c>
      <c r="I187" s="14">
        <v>505.25400000000002</v>
      </c>
      <c r="J187" s="14">
        <v>460.17599999999999</v>
      </c>
      <c r="K187" s="14">
        <v>121.91500000000001</v>
      </c>
    </row>
    <row r="188" spans="1:11" x14ac:dyDescent="0.35">
      <c r="A188" s="3">
        <v>34151</v>
      </c>
      <c r="B188" s="4">
        <v>6882.098</v>
      </c>
      <c r="C188" s="4">
        <v>502.315</v>
      </c>
      <c r="D188" s="4">
        <v>5677.6049999999996</v>
      </c>
      <c r="E188" s="21">
        <f>(I188+J188)/D188</f>
        <v>0.17263811061178086</v>
      </c>
      <c r="F188" s="12">
        <f>K188/C188</f>
        <v>0.22985178622975622</v>
      </c>
      <c r="G188" s="13">
        <v>5677.6049999999996</v>
      </c>
      <c r="H188" s="14">
        <v>585.68600000000004</v>
      </c>
      <c r="I188" s="14">
        <v>515.625</v>
      </c>
      <c r="J188" s="14">
        <v>464.54599999999999</v>
      </c>
      <c r="K188" s="14">
        <v>115.458</v>
      </c>
    </row>
    <row r="189" spans="1:11" x14ac:dyDescent="0.35">
      <c r="A189" s="3">
        <v>34243</v>
      </c>
      <c r="B189" s="4">
        <v>7013.7380000000003</v>
      </c>
      <c r="C189" s="4">
        <v>553.37699999999995</v>
      </c>
      <c r="D189" s="4">
        <v>5757.6710000000003</v>
      </c>
      <c r="E189" s="21">
        <f>(I189+J189)/D189</f>
        <v>0.17333814314850571</v>
      </c>
      <c r="F189" s="12">
        <f>K189/C189</f>
        <v>0.25483350410298949</v>
      </c>
      <c r="G189" s="13">
        <v>5757.6710000000003</v>
      </c>
      <c r="H189" s="14">
        <v>589.57000000000005</v>
      </c>
      <c r="I189" s="14">
        <v>529.53399999999999</v>
      </c>
      <c r="J189" s="14">
        <v>468.49</v>
      </c>
      <c r="K189" s="14">
        <v>141.01900000000001</v>
      </c>
    </row>
    <row r="190" spans="1:11" x14ac:dyDescent="0.35">
      <c r="A190" s="3">
        <v>34335</v>
      </c>
      <c r="B190" s="4">
        <v>7115.652</v>
      </c>
      <c r="C190" s="4">
        <v>560.91499999999996</v>
      </c>
      <c r="D190" s="4">
        <v>5807.9350000000004</v>
      </c>
      <c r="E190" s="21">
        <f>(I190+J190)/D190</f>
        <v>0.1739380692104853</v>
      </c>
      <c r="F190" s="12">
        <f>K190/C190</f>
        <v>0.21814535179126965</v>
      </c>
      <c r="G190" s="13">
        <v>5807.9350000000004</v>
      </c>
      <c r="H190" s="14">
        <v>601.75199999999995</v>
      </c>
      <c r="I190" s="14">
        <v>526.74099999999999</v>
      </c>
      <c r="J190" s="14">
        <v>483.48</v>
      </c>
      <c r="K190" s="14">
        <v>122.361</v>
      </c>
    </row>
    <row r="191" spans="1:11" x14ac:dyDescent="0.35">
      <c r="A191" s="3">
        <v>34425</v>
      </c>
      <c r="B191" s="4">
        <v>7246.9309999999996</v>
      </c>
      <c r="C191" s="4">
        <v>582.45600000000002</v>
      </c>
      <c r="D191" s="4">
        <v>5912.7489999999998</v>
      </c>
      <c r="E191" s="21">
        <f>(I191+J191)/D191</f>
        <v>0.17698214485343453</v>
      </c>
      <c r="F191" s="12">
        <f>K191/C191</f>
        <v>0.22196869806474653</v>
      </c>
      <c r="G191" s="13">
        <v>5912.7489999999998</v>
      </c>
      <c r="H191" s="14">
        <v>606.15200000000004</v>
      </c>
      <c r="I191" s="14">
        <v>555.92100000000005</v>
      </c>
      <c r="J191" s="14">
        <v>490.53</v>
      </c>
      <c r="K191" s="14">
        <v>129.28700000000001</v>
      </c>
    </row>
    <row r="192" spans="1:11" x14ac:dyDescent="0.35">
      <c r="A192" s="3">
        <v>34516</v>
      </c>
      <c r="B192" s="4">
        <v>7331.0749999999998</v>
      </c>
      <c r="C192" s="4">
        <v>619.92899999999997</v>
      </c>
      <c r="D192" s="4">
        <v>5978.3729999999996</v>
      </c>
      <c r="E192" s="21">
        <f>(I192+J192)/D192</f>
        <v>0.17407980398680378</v>
      </c>
      <c r="F192" s="12">
        <f>K192/C192</f>
        <v>0.22973114663130778</v>
      </c>
      <c r="G192" s="13">
        <v>5978.3729999999996</v>
      </c>
      <c r="H192" s="14">
        <v>609.97199999999998</v>
      </c>
      <c r="I192" s="14">
        <v>544.221</v>
      </c>
      <c r="J192" s="14">
        <v>496.49299999999999</v>
      </c>
      <c r="K192" s="14">
        <v>142.417</v>
      </c>
    </row>
    <row r="193" spans="1:11" x14ac:dyDescent="0.35">
      <c r="A193" s="3">
        <v>34608</v>
      </c>
      <c r="B193" s="4">
        <v>7455.2879999999996</v>
      </c>
      <c r="C193" s="4">
        <v>643.51599999999996</v>
      </c>
      <c r="D193" s="4">
        <v>6089.3739999999998</v>
      </c>
      <c r="E193" s="21">
        <f>(I193+J193)/D193</f>
        <v>0.17367992177849481</v>
      </c>
      <c r="F193" s="12">
        <f>K193/C193</f>
        <v>0.23456604031601391</v>
      </c>
      <c r="G193" s="13">
        <v>6089.3739999999998</v>
      </c>
      <c r="H193" s="14">
        <v>618.12800000000004</v>
      </c>
      <c r="I193" s="14">
        <v>553.44500000000005</v>
      </c>
      <c r="J193" s="14">
        <v>504.15699999999998</v>
      </c>
      <c r="K193" s="14">
        <v>150.947</v>
      </c>
    </row>
    <row r="194" spans="1:11" x14ac:dyDescent="0.35">
      <c r="A194" s="3">
        <v>34700</v>
      </c>
      <c r="B194" s="4">
        <v>7522.2889999999998</v>
      </c>
      <c r="C194" s="4">
        <v>662.34900000000005</v>
      </c>
      <c r="D194" s="4">
        <v>6181.2169999999996</v>
      </c>
      <c r="E194" s="21">
        <f>(I194+J194)/D194</f>
        <v>0.17459506760561877</v>
      </c>
      <c r="F194" s="12">
        <f>K194/C194</f>
        <v>0.23439757590031837</v>
      </c>
      <c r="G194" s="13">
        <v>6181.2169999999996</v>
      </c>
      <c r="H194" s="14">
        <v>637.58000000000004</v>
      </c>
      <c r="I194" s="14">
        <v>567.67999999999995</v>
      </c>
      <c r="J194" s="14">
        <v>511.53</v>
      </c>
      <c r="K194" s="14">
        <v>155.25299999999999</v>
      </c>
    </row>
    <row r="195" spans="1:11" x14ac:dyDescent="0.35">
      <c r="A195" s="3">
        <v>34790</v>
      </c>
      <c r="B195" s="4">
        <v>7580.9970000000003</v>
      </c>
      <c r="C195" s="4">
        <v>682.22299999999996</v>
      </c>
      <c r="D195" s="4">
        <v>6250.73</v>
      </c>
      <c r="E195" s="21">
        <f>(I195+J195)/D195</f>
        <v>0.17768052691445638</v>
      </c>
      <c r="F195" s="12">
        <f>K195/C195</f>
        <v>0.22446619360531675</v>
      </c>
      <c r="G195" s="13">
        <v>6250.73</v>
      </c>
      <c r="H195" s="14">
        <v>644.92399999999998</v>
      </c>
      <c r="I195" s="14">
        <v>594.37699999999995</v>
      </c>
      <c r="J195" s="14">
        <v>516.25599999999997</v>
      </c>
      <c r="K195" s="14">
        <v>153.136</v>
      </c>
    </row>
    <row r="196" spans="1:11" x14ac:dyDescent="0.35">
      <c r="A196" s="3">
        <v>34881</v>
      </c>
      <c r="B196" s="4">
        <v>7683.125</v>
      </c>
      <c r="C196" s="4">
        <v>696.76499999999999</v>
      </c>
      <c r="D196" s="4">
        <v>6329.2640000000001</v>
      </c>
      <c r="E196" s="21">
        <f>(I196+J196)/D196</f>
        <v>0.17591903260789882</v>
      </c>
      <c r="F196" s="12">
        <f>K196/C196</f>
        <v>0.22836967987772061</v>
      </c>
      <c r="G196" s="13">
        <v>6329.2640000000001</v>
      </c>
      <c r="H196" s="14">
        <v>650.03200000000004</v>
      </c>
      <c r="I196" s="14">
        <v>591.54899999999998</v>
      </c>
      <c r="J196" s="14">
        <v>521.88900000000001</v>
      </c>
      <c r="K196" s="14">
        <v>159.12</v>
      </c>
    </row>
    <row r="197" spans="1:11" x14ac:dyDescent="0.35">
      <c r="A197" s="3">
        <v>34973</v>
      </c>
      <c r="B197" s="4">
        <v>7772.5860000000002</v>
      </c>
      <c r="C197" s="4">
        <v>699.66800000000001</v>
      </c>
      <c r="D197" s="4">
        <v>6404.29</v>
      </c>
      <c r="E197" s="21">
        <f>(I197+J197)/D197</f>
        <v>0.17717951560594536</v>
      </c>
      <c r="F197" s="12">
        <f>K197/C197</f>
        <v>0.22327017957088219</v>
      </c>
      <c r="G197" s="13">
        <v>6404.29</v>
      </c>
      <c r="H197" s="14">
        <v>655.82799999999997</v>
      </c>
      <c r="I197" s="14">
        <v>607.58299999999997</v>
      </c>
      <c r="J197" s="14">
        <v>527.12599999999998</v>
      </c>
      <c r="K197" s="14">
        <v>156.215</v>
      </c>
    </row>
    <row r="198" spans="1:11" x14ac:dyDescent="0.35">
      <c r="A198" s="3">
        <v>35065</v>
      </c>
      <c r="B198" s="4">
        <v>7868.4679999999998</v>
      </c>
      <c r="C198" s="4">
        <v>726.61900000000003</v>
      </c>
      <c r="D198" s="4">
        <v>6520.9650000000001</v>
      </c>
      <c r="E198" s="21">
        <f>(I198+J198)/D198</f>
        <v>0.17889591494510398</v>
      </c>
      <c r="F198" s="12">
        <f>K198/C198</f>
        <v>0.22344584988831837</v>
      </c>
      <c r="G198" s="13">
        <v>6520.9650000000001</v>
      </c>
      <c r="H198" s="14">
        <v>674.99099999999999</v>
      </c>
      <c r="I198" s="14">
        <v>636.39</v>
      </c>
      <c r="J198" s="14">
        <v>530.18399999999997</v>
      </c>
      <c r="K198" s="14">
        <v>162.36000000000001</v>
      </c>
    </row>
    <row r="199" spans="1:11" x14ac:dyDescent="0.35">
      <c r="A199" s="3">
        <v>35156</v>
      </c>
      <c r="B199" s="4">
        <v>8032.84</v>
      </c>
      <c r="C199" s="4">
        <v>740.31500000000005</v>
      </c>
      <c r="D199" s="4">
        <v>6649.8459999999995</v>
      </c>
      <c r="E199" s="21">
        <f>(I199+J199)/D199</f>
        <v>0.18235053864405285</v>
      </c>
      <c r="F199" s="12">
        <f>K199/C199</f>
        <v>0.23223222547158978</v>
      </c>
      <c r="G199" s="13">
        <v>6649.8459999999995</v>
      </c>
      <c r="H199" s="14">
        <v>680.66700000000003</v>
      </c>
      <c r="I199" s="14">
        <v>673.63900000000001</v>
      </c>
      <c r="J199" s="14">
        <v>538.96400000000006</v>
      </c>
      <c r="K199" s="14">
        <v>171.92500000000001</v>
      </c>
    </row>
    <row r="200" spans="1:11" x14ac:dyDescent="0.35">
      <c r="A200" s="3">
        <v>35247</v>
      </c>
      <c r="B200" s="4">
        <v>8131.4080000000004</v>
      </c>
      <c r="C200" s="4">
        <v>736.36</v>
      </c>
      <c r="D200" s="4">
        <v>6725.8530000000001</v>
      </c>
      <c r="E200" s="21">
        <f>(I200+J200)/D200</f>
        <v>0.18152924246188551</v>
      </c>
      <c r="F200" s="12">
        <f>K200/C200</f>
        <v>0.23436362648704437</v>
      </c>
      <c r="G200" s="13">
        <v>6725.8530000000001</v>
      </c>
      <c r="H200" s="14">
        <v>683.71100000000001</v>
      </c>
      <c r="I200" s="14">
        <v>674.21900000000005</v>
      </c>
      <c r="J200" s="14">
        <v>546.72</v>
      </c>
      <c r="K200" s="14">
        <v>172.57599999999999</v>
      </c>
    </row>
    <row r="201" spans="1:11" x14ac:dyDescent="0.35">
      <c r="A201" s="3">
        <v>35339</v>
      </c>
      <c r="B201" s="4">
        <v>8259.7710000000006</v>
      </c>
      <c r="C201" s="4">
        <v>751.66700000000003</v>
      </c>
      <c r="D201" s="4">
        <v>6817.4570000000003</v>
      </c>
      <c r="E201" s="21">
        <f>(I201+J201)/D201</f>
        <v>0.18247625177540538</v>
      </c>
      <c r="F201" s="12">
        <f>K201/C201</f>
        <v>0.23320832230229607</v>
      </c>
      <c r="G201" s="13">
        <v>6817.4570000000003</v>
      </c>
      <c r="H201" s="14">
        <v>688.91099999999994</v>
      </c>
      <c r="I201" s="14">
        <v>689.39200000000005</v>
      </c>
      <c r="J201" s="14">
        <v>554.63199999999995</v>
      </c>
      <c r="K201" s="14">
        <v>175.29499999999999</v>
      </c>
    </row>
    <row r="202" spans="1:11" x14ac:dyDescent="0.35">
      <c r="A202" s="3">
        <v>35431</v>
      </c>
      <c r="B202" s="4">
        <v>8362.6550000000007</v>
      </c>
      <c r="C202" s="4">
        <v>764.96600000000001</v>
      </c>
      <c r="D202" s="4">
        <v>6939.3559999999998</v>
      </c>
      <c r="E202" s="21">
        <f>(I202+J202)/D202</f>
        <v>0.18552168241548639</v>
      </c>
      <c r="F202" s="12">
        <f>K202/C202</f>
        <v>0.23125864417503522</v>
      </c>
      <c r="G202" s="13">
        <v>6939.3559999999998</v>
      </c>
      <c r="H202" s="14">
        <v>704.46400000000006</v>
      </c>
      <c r="I202" s="14">
        <v>724.327</v>
      </c>
      <c r="J202" s="14">
        <v>563.07399999999996</v>
      </c>
      <c r="K202" s="14">
        <v>176.905</v>
      </c>
    </row>
    <row r="203" spans="1:11" x14ac:dyDescent="0.35">
      <c r="A203" s="3">
        <v>35521</v>
      </c>
      <c r="B203" s="4">
        <v>8518.8250000000007</v>
      </c>
      <c r="C203" s="4">
        <v>787.74099999999999</v>
      </c>
      <c r="D203" s="4">
        <v>7022.2749999999996</v>
      </c>
      <c r="E203" s="21">
        <f>(I203+J203)/D203</f>
        <v>0.186589103958475</v>
      </c>
      <c r="F203" s="12">
        <f>K203/C203</f>
        <v>0.22910068156919597</v>
      </c>
      <c r="G203" s="13">
        <v>7022.2749999999996</v>
      </c>
      <c r="H203" s="14">
        <v>707.548</v>
      </c>
      <c r="I203" s="14">
        <v>739.29700000000003</v>
      </c>
      <c r="J203" s="14">
        <v>570.98299999999995</v>
      </c>
      <c r="K203" s="14">
        <v>180.47200000000001</v>
      </c>
    </row>
    <row r="204" spans="1:11" x14ac:dyDescent="0.35">
      <c r="A204" s="3">
        <v>35612</v>
      </c>
      <c r="B204" s="4">
        <v>8662.8230000000003</v>
      </c>
      <c r="C204" s="4">
        <v>821.46299999999997</v>
      </c>
      <c r="D204" s="4">
        <v>7135.3140000000003</v>
      </c>
      <c r="E204" s="21">
        <f>(I204+J204)/D204</f>
        <v>0.18736610610268867</v>
      </c>
      <c r="F204" s="12">
        <f>K204/C204</f>
        <v>0.23185097807204949</v>
      </c>
      <c r="G204" s="13">
        <v>7135.3140000000003</v>
      </c>
      <c r="H204" s="14">
        <v>709.18399999999997</v>
      </c>
      <c r="I204" s="14">
        <v>757.03399999999999</v>
      </c>
      <c r="J204" s="14">
        <v>579.88199999999995</v>
      </c>
      <c r="K204" s="14">
        <v>190.45699999999999</v>
      </c>
    </row>
    <row r="205" spans="1:11" x14ac:dyDescent="0.35">
      <c r="A205" s="3">
        <v>35704</v>
      </c>
      <c r="B205" s="4">
        <v>8765.9069999999992</v>
      </c>
      <c r="C205" s="4">
        <v>813.375</v>
      </c>
      <c r="D205" s="4">
        <v>7273.02</v>
      </c>
      <c r="E205" s="21">
        <f>(I205+J205)/D205</f>
        <v>0.18841719120805386</v>
      </c>
      <c r="F205" s="12">
        <f>K205/C205</f>
        <v>0.22315660058398645</v>
      </c>
      <c r="G205" s="13">
        <v>7273.02</v>
      </c>
      <c r="H205" s="14">
        <v>710.24400000000003</v>
      </c>
      <c r="I205" s="14">
        <v>778.63</v>
      </c>
      <c r="J205" s="14">
        <v>591.73199999999997</v>
      </c>
      <c r="K205" s="14">
        <v>181.51</v>
      </c>
    </row>
    <row r="206" spans="1:11" x14ac:dyDescent="0.35">
      <c r="A206" s="3">
        <v>35796</v>
      </c>
      <c r="B206" s="4">
        <v>8866.48</v>
      </c>
      <c r="C206" s="4">
        <v>736.75300000000004</v>
      </c>
      <c r="D206" s="4">
        <v>7434.5609999999997</v>
      </c>
      <c r="E206" s="21">
        <f>(I206+J206)/D206</f>
        <v>0.1883573219723397</v>
      </c>
      <c r="F206" s="12">
        <f>K206/C206</f>
        <v>0.24264441407093015</v>
      </c>
      <c r="G206" s="13">
        <v>7434.5609999999997</v>
      </c>
      <c r="H206" s="14">
        <v>719.697</v>
      </c>
      <c r="I206" s="14">
        <v>800.57299999999998</v>
      </c>
      <c r="J206" s="14">
        <v>599.78099999999995</v>
      </c>
      <c r="K206" s="14">
        <v>178.76900000000001</v>
      </c>
    </row>
    <row r="207" spans="1:11" x14ac:dyDescent="0.35">
      <c r="A207" s="3">
        <v>35886</v>
      </c>
      <c r="B207" s="4">
        <v>8969.6990000000005</v>
      </c>
      <c r="C207" s="4">
        <v>731.17</v>
      </c>
      <c r="D207" s="4">
        <v>7561.0529999999999</v>
      </c>
      <c r="E207" s="21">
        <f>(I207+J207)/D207</f>
        <v>0.18914402530970226</v>
      </c>
      <c r="F207" s="12">
        <f>K207/C207</f>
        <v>0.23988538917078109</v>
      </c>
      <c r="G207" s="13">
        <v>7561.0529999999999</v>
      </c>
      <c r="H207" s="14">
        <v>720.66499999999996</v>
      </c>
      <c r="I207" s="14">
        <v>820.90899999999999</v>
      </c>
      <c r="J207" s="14">
        <v>609.21900000000005</v>
      </c>
      <c r="K207" s="14">
        <v>175.39699999999999</v>
      </c>
    </row>
    <row r="208" spans="1:11" x14ac:dyDescent="0.35">
      <c r="A208" s="3">
        <v>35977</v>
      </c>
      <c r="B208" s="4">
        <v>9121.0969999999998</v>
      </c>
      <c r="C208" s="4">
        <v>733.21799999999996</v>
      </c>
      <c r="D208" s="4">
        <v>7668.1490000000003</v>
      </c>
      <c r="E208" s="21">
        <f>(I208+J208)/D208</f>
        <v>0.19049434224608833</v>
      </c>
      <c r="F208" s="12">
        <f>K208/C208</f>
        <v>0.24565408923403409</v>
      </c>
      <c r="G208" s="13">
        <v>7668.1490000000003</v>
      </c>
      <c r="H208" s="14">
        <v>723.46500000000003</v>
      </c>
      <c r="I208" s="14">
        <v>841.61300000000006</v>
      </c>
      <c r="J208" s="14">
        <v>619.12599999999998</v>
      </c>
      <c r="K208" s="14">
        <v>180.11799999999999</v>
      </c>
    </row>
    <row r="209" spans="1:11" x14ac:dyDescent="0.35">
      <c r="A209" s="3">
        <v>36069</v>
      </c>
      <c r="B209" s="4">
        <v>9293.991</v>
      </c>
      <c r="C209" s="4">
        <v>711.16800000000001</v>
      </c>
      <c r="D209" s="4">
        <v>7762.884</v>
      </c>
      <c r="E209" s="21">
        <f>(I209+J209)/D209</f>
        <v>0.19203893810599257</v>
      </c>
      <c r="F209" s="12">
        <f>K209/C209</f>
        <v>0.24809890208783297</v>
      </c>
      <c r="G209" s="13">
        <v>7762.884</v>
      </c>
      <c r="H209" s="14">
        <v>724.71699999999998</v>
      </c>
      <c r="I209" s="14">
        <v>861.70100000000002</v>
      </c>
      <c r="J209" s="14">
        <v>629.07500000000005</v>
      </c>
      <c r="K209" s="14">
        <v>176.44</v>
      </c>
    </row>
    <row r="210" spans="1:11" x14ac:dyDescent="0.35">
      <c r="A210" s="3">
        <v>36161</v>
      </c>
      <c r="B210" s="4">
        <v>9411.6820000000007</v>
      </c>
      <c r="C210" s="4">
        <v>749.51</v>
      </c>
      <c r="D210" s="4">
        <v>7859.1360000000004</v>
      </c>
      <c r="E210" s="21">
        <f>(I210+J210)/D210</f>
        <v>0.19214058644614368</v>
      </c>
      <c r="F210" s="12">
        <f>K210/C210</f>
        <v>0.2481968219236568</v>
      </c>
      <c r="G210" s="13">
        <v>7859.1360000000004</v>
      </c>
      <c r="H210" s="14">
        <v>735.53</v>
      </c>
      <c r="I210" s="14">
        <v>869.78</v>
      </c>
      <c r="J210" s="14">
        <v>640.279</v>
      </c>
      <c r="K210" s="14">
        <v>186.02600000000001</v>
      </c>
    </row>
    <row r="211" spans="1:11" x14ac:dyDescent="0.35">
      <c r="A211" s="3">
        <v>36251</v>
      </c>
      <c r="B211" s="4">
        <v>9526.2099999999991</v>
      </c>
      <c r="C211" s="4">
        <v>761.40300000000002</v>
      </c>
      <c r="D211" s="4">
        <v>7922.9290000000001</v>
      </c>
      <c r="E211" s="21">
        <f>(I211+J211)/D211</f>
        <v>0.19333481342569142</v>
      </c>
      <c r="F211" s="12">
        <f>K211/C211</f>
        <v>0.24221076092424115</v>
      </c>
      <c r="G211" s="13">
        <v>7922.9290000000001</v>
      </c>
      <c r="H211" s="14">
        <v>738.63</v>
      </c>
      <c r="I211" s="14">
        <v>885.75900000000001</v>
      </c>
      <c r="J211" s="14">
        <v>646.01900000000001</v>
      </c>
      <c r="K211" s="14">
        <v>184.42</v>
      </c>
    </row>
    <row r="212" spans="1:11" x14ac:dyDescent="0.35">
      <c r="A212" s="3">
        <v>36342</v>
      </c>
      <c r="B212" s="4">
        <v>9686.6260000000002</v>
      </c>
      <c r="C212" s="4">
        <v>764.38499999999999</v>
      </c>
      <c r="D212" s="4">
        <v>8038.308</v>
      </c>
      <c r="E212" s="21">
        <f>(I212+J212)/D212</f>
        <v>0.19376416031831575</v>
      </c>
      <c r="F212" s="12">
        <f>K212/C212</f>
        <v>0.24553464549932297</v>
      </c>
      <c r="G212" s="13">
        <v>8038.308</v>
      </c>
      <c r="H212" s="14">
        <v>741.09</v>
      </c>
      <c r="I212" s="14">
        <v>904.17399999999998</v>
      </c>
      <c r="J212" s="14">
        <v>653.36199999999997</v>
      </c>
      <c r="K212" s="14">
        <v>187.68299999999999</v>
      </c>
    </row>
    <row r="213" spans="1:11" x14ac:dyDescent="0.35">
      <c r="A213" s="3">
        <v>36434</v>
      </c>
      <c r="B213" s="4">
        <v>9900.1689999999999</v>
      </c>
      <c r="C213" s="4">
        <v>788.15499999999997</v>
      </c>
      <c r="D213" s="4">
        <v>8206.8719999999994</v>
      </c>
      <c r="E213" s="21">
        <f>(I213+J213)/D213</f>
        <v>0.19452831724437766</v>
      </c>
      <c r="F213" s="12">
        <f>K213/C213</f>
        <v>0.24373378332942125</v>
      </c>
      <c r="G213" s="13">
        <v>8206.8719999999994</v>
      </c>
      <c r="H213" s="14">
        <v>744.16200000000003</v>
      </c>
      <c r="I213" s="14">
        <v>929.99699999999996</v>
      </c>
      <c r="J213" s="14">
        <v>666.47199999999998</v>
      </c>
      <c r="K213" s="14">
        <v>192.1</v>
      </c>
    </row>
    <row r="214" spans="1:11" x14ac:dyDescent="0.35">
      <c r="A214" s="3">
        <v>36526</v>
      </c>
      <c r="B214" s="4">
        <v>10002.179</v>
      </c>
      <c r="C214" s="4">
        <v>770.88300000000004</v>
      </c>
      <c r="D214" s="4">
        <v>8443.3209999999999</v>
      </c>
      <c r="E214" s="21">
        <f>(I214+J214)/D214</f>
        <v>0.1969112627602338</v>
      </c>
      <c r="F214" s="12">
        <f>K214/C214</f>
        <v>0.2623030991732857</v>
      </c>
      <c r="G214" s="13">
        <v>8443.3209999999999</v>
      </c>
      <c r="H214" s="14">
        <v>756.82100000000003</v>
      </c>
      <c r="I214" s="14">
        <v>976.6</v>
      </c>
      <c r="J214" s="14">
        <v>685.98500000000001</v>
      </c>
      <c r="K214" s="14">
        <v>202.20500000000001</v>
      </c>
    </row>
    <row r="215" spans="1:11" x14ac:dyDescent="0.35">
      <c r="A215" s="3">
        <v>36617</v>
      </c>
      <c r="B215" s="4">
        <v>10247.719999999999</v>
      </c>
      <c r="C215" s="4">
        <v>761.52</v>
      </c>
      <c r="D215" s="4">
        <v>8586.0220000000008</v>
      </c>
      <c r="E215" s="21">
        <f>(I215+J215)/D215</f>
        <v>0.19506716847452754</v>
      </c>
      <c r="F215" s="12">
        <f>K215/C215</f>
        <v>0.26401276394579259</v>
      </c>
      <c r="G215" s="13">
        <v>8586.0220000000008</v>
      </c>
      <c r="H215" s="14">
        <v>772.86099999999999</v>
      </c>
      <c r="I215" s="14">
        <v>986.85</v>
      </c>
      <c r="J215" s="14">
        <v>688.00099999999998</v>
      </c>
      <c r="K215" s="14">
        <v>201.05099999999999</v>
      </c>
    </row>
    <row r="216" spans="1:11" x14ac:dyDescent="0.35">
      <c r="A216" s="3">
        <v>36708</v>
      </c>
      <c r="B216" s="4">
        <v>10318.165000000001</v>
      </c>
      <c r="C216" s="4">
        <v>736.09199999999998</v>
      </c>
      <c r="D216" s="4">
        <v>8746.9339999999993</v>
      </c>
      <c r="E216" s="21">
        <f>(I216+J216)/D216</f>
        <v>0.19569005550973637</v>
      </c>
      <c r="F216" s="12">
        <f>K216/C216</f>
        <v>0.2521016394689794</v>
      </c>
      <c r="G216" s="13">
        <v>8746.9339999999993</v>
      </c>
      <c r="H216" s="14">
        <v>777.54100000000005</v>
      </c>
      <c r="I216" s="14">
        <v>1011.116</v>
      </c>
      <c r="J216" s="14">
        <v>700.572</v>
      </c>
      <c r="K216" s="14">
        <v>185.57</v>
      </c>
    </row>
    <row r="217" spans="1:11" x14ac:dyDescent="0.35">
      <c r="A217" s="3">
        <v>36800</v>
      </c>
      <c r="B217" s="4">
        <v>10435.744000000001</v>
      </c>
      <c r="C217" s="4">
        <v>717.78899999999999</v>
      </c>
      <c r="D217" s="4">
        <v>8847.3950000000004</v>
      </c>
      <c r="E217" s="21">
        <f>(I217+J217)/D217</f>
        <v>0.19547324381922587</v>
      </c>
      <c r="F217" s="12">
        <f>K217/C217</f>
        <v>0.26130102300258157</v>
      </c>
      <c r="G217" s="13">
        <v>8847.3950000000004</v>
      </c>
      <c r="H217" s="14">
        <v>786.54499999999996</v>
      </c>
      <c r="I217" s="14">
        <v>1023.9160000000001</v>
      </c>
      <c r="J217" s="14">
        <v>705.51300000000003</v>
      </c>
      <c r="K217" s="14">
        <v>187.559</v>
      </c>
    </row>
    <row r="218" spans="1:11" x14ac:dyDescent="0.35">
      <c r="A218" s="3">
        <v>36892</v>
      </c>
      <c r="B218" s="4">
        <v>10470.231</v>
      </c>
      <c r="C218" s="4">
        <v>717.43299999999999</v>
      </c>
      <c r="D218" s="4">
        <v>9009.2270000000008</v>
      </c>
      <c r="E218" s="21">
        <f>(I218+J218)/D218</f>
        <v>0.19653461945181311</v>
      </c>
      <c r="F218" s="12">
        <f>K218/C218</f>
        <v>0.21596441758324469</v>
      </c>
      <c r="G218" s="13">
        <v>9009.2270000000008</v>
      </c>
      <c r="H218" s="14">
        <v>817.33199999999999</v>
      </c>
      <c r="I218" s="14">
        <v>1050.9870000000001</v>
      </c>
      <c r="J218" s="14">
        <v>719.63800000000003</v>
      </c>
      <c r="K218" s="14">
        <v>154.94</v>
      </c>
    </row>
    <row r="219" spans="1:11" x14ac:dyDescent="0.35">
      <c r="A219" s="3">
        <v>36982</v>
      </c>
      <c r="B219" s="4">
        <v>10599</v>
      </c>
      <c r="C219" s="4">
        <v>734.37300000000005</v>
      </c>
      <c r="D219" s="4">
        <v>9032.4459999999999</v>
      </c>
      <c r="E219" s="21">
        <f>(I219+J219)/D219</f>
        <v>0.19580908648665046</v>
      </c>
      <c r="F219" s="12">
        <f>K219/C219</f>
        <v>0.20242438107065483</v>
      </c>
      <c r="G219" s="13">
        <v>9032.4459999999999</v>
      </c>
      <c r="H219" s="14">
        <v>831.04</v>
      </c>
      <c r="I219" s="14">
        <v>1048.972</v>
      </c>
      <c r="J219" s="14">
        <v>719.66300000000001</v>
      </c>
      <c r="K219" s="14">
        <v>148.655</v>
      </c>
    </row>
    <row r="220" spans="1:11" x14ac:dyDescent="0.35">
      <c r="A220" s="3">
        <v>37073</v>
      </c>
      <c r="B220" s="4">
        <v>10598.02</v>
      </c>
      <c r="C220" s="4">
        <v>668.43899999999996</v>
      </c>
      <c r="D220" s="4">
        <v>9009.6810000000005</v>
      </c>
      <c r="E220" s="21">
        <f>(I220+J220)/D220</f>
        <v>0.17758708660162328</v>
      </c>
      <c r="F220" s="12">
        <f>K220/C220</f>
        <v>0.1958967086001864</v>
      </c>
      <c r="G220" s="13">
        <v>9009.6810000000005</v>
      </c>
      <c r="H220" s="14">
        <v>849.43200000000002</v>
      </c>
      <c r="I220" s="14">
        <v>881.70899999999995</v>
      </c>
      <c r="J220" s="14">
        <v>718.29399999999998</v>
      </c>
      <c r="K220" s="14">
        <v>130.94499999999999</v>
      </c>
    </row>
    <row r="221" spans="1:11" x14ac:dyDescent="0.35">
      <c r="A221" s="3">
        <v>37165</v>
      </c>
      <c r="B221" s="4">
        <v>10660.465</v>
      </c>
      <c r="C221" s="4">
        <v>635.928</v>
      </c>
      <c r="D221" s="4">
        <v>8999.8700000000008</v>
      </c>
      <c r="E221" s="21">
        <f>(I221+J221)/D221</f>
        <v>0.1914335429289534</v>
      </c>
      <c r="F221" s="12">
        <f>K221/C221</f>
        <v>0.18207249877344606</v>
      </c>
      <c r="G221" s="13">
        <v>8999.8700000000008</v>
      </c>
      <c r="H221" s="14">
        <v>865.23599999999999</v>
      </c>
      <c r="I221" s="14">
        <v>1002.447</v>
      </c>
      <c r="J221" s="14">
        <v>720.43</v>
      </c>
      <c r="K221" s="14">
        <v>115.785</v>
      </c>
    </row>
    <row r="222" spans="1:11" x14ac:dyDescent="0.35">
      <c r="A222" s="3">
        <v>37257</v>
      </c>
      <c r="B222" s="4">
        <v>10783.5</v>
      </c>
      <c r="C222" s="4">
        <v>685.452</v>
      </c>
      <c r="D222" s="4">
        <v>9041.5130000000008</v>
      </c>
      <c r="E222" s="21">
        <f>(I222+J222)/D222</f>
        <v>0.1743073310849633</v>
      </c>
      <c r="F222" s="12">
        <f>K222/C222</f>
        <v>0.16853550649790211</v>
      </c>
      <c r="G222" s="13">
        <v>9041.5130000000008</v>
      </c>
      <c r="H222" s="14">
        <v>895.005</v>
      </c>
      <c r="I222" s="14">
        <v>847.798</v>
      </c>
      <c r="J222" s="14">
        <v>728.20399999999995</v>
      </c>
      <c r="K222" s="14">
        <v>115.523</v>
      </c>
    </row>
    <row r="223" spans="1:11" x14ac:dyDescent="0.35">
      <c r="A223" s="3">
        <v>37347</v>
      </c>
      <c r="B223" s="4">
        <v>10887.46</v>
      </c>
      <c r="C223" s="4">
        <v>749.82399999999996</v>
      </c>
      <c r="D223" s="4">
        <v>9141.3169999999991</v>
      </c>
      <c r="E223" s="21">
        <f>(I223+J223)/D223</f>
        <v>0.17205223273626769</v>
      </c>
      <c r="F223" s="12">
        <f>K223/C223</f>
        <v>0.15986818240013659</v>
      </c>
      <c r="G223" s="13">
        <v>9141.3169999999991</v>
      </c>
      <c r="H223" s="14">
        <v>921.04</v>
      </c>
      <c r="I223" s="14">
        <v>836.65300000000002</v>
      </c>
      <c r="J223" s="14">
        <v>736.13099999999997</v>
      </c>
      <c r="K223" s="14">
        <v>119.873</v>
      </c>
    </row>
    <row r="224" spans="1:11" x14ac:dyDescent="0.35">
      <c r="A224" s="3">
        <v>37438</v>
      </c>
      <c r="B224" s="4">
        <v>10984.04</v>
      </c>
      <c r="C224" s="4">
        <v>813.94500000000005</v>
      </c>
      <c r="D224" s="4">
        <v>9188.3510000000006</v>
      </c>
      <c r="E224" s="21">
        <f>(I224+J224)/D224</f>
        <v>0.17016861893935048</v>
      </c>
      <c r="F224" s="12">
        <f>K224/C224</f>
        <v>0.15540730639048092</v>
      </c>
      <c r="G224" s="13">
        <v>9188.3510000000006</v>
      </c>
      <c r="H224" s="14">
        <v>925.16600000000005</v>
      </c>
      <c r="I224" s="14">
        <v>825.298</v>
      </c>
      <c r="J224" s="14">
        <v>738.27099999999996</v>
      </c>
      <c r="K224" s="14">
        <v>126.49299999999999</v>
      </c>
    </row>
    <row r="225" spans="1:11" x14ac:dyDescent="0.35">
      <c r="A225" s="3">
        <v>37530</v>
      </c>
      <c r="B225" s="4">
        <v>11061.433000000001</v>
      </c>
      <c r="C225" s="4">
        <v>904.96600000000001</v>
      </c>
      <c r="D225" s="4">
        <v>9272.5959999999995</v>
      </c>
      <c r="E225" s="21">
        <f>(I225+J225)/D225</f>
        <v>0.16820068511558145</v>
      </c>
      <c r="F225" s="12">
        <f>K225/C225</f>
        <v>0.15687108686956194</v>
      </c>
      <c r="G225" s="13">
        <v>9272.5959999999995</v>
      </c>
      <c r="H225" s="14">
        <v>930.77499999999998</v>
      </c>
      <c r="I225" s="14">
        <v>819.58299999999997</v>
      </c>
      <c r="J225" s="14">
        <v>740.07399999999996</v>
      </c>
      <c r="K225" s="14">
        <v>141.96299999999999</v>
      </c>
    </row>
    <row r="226" spans="1:11" x14ac:dyDescent="0.35">
      <c r="A226" s="3">
        <v>37622</v>
      </c>
      <c r="B226" s="4">
        <v>11174.129000000001</v>
      </c>
      <c r="C226" s="4">
        <v>921.46699999999998</v>
      </c>
      <c r="D226" s="4">
        <v>9313.6450000000004</v>
      </c>
      <c r="E226" s="21">
        <f>(I226+J226)/D226</f>
        <v>0.16629096341979965</v>
      </c>
      <c r="F226" s="12">
        <f>K226/C226</f>
        <v>0.17530090605523582</v>
      </c>
      <c r="G226" s="13">
        <v>9313.6450000000004</v>
      </c>
      <c r="H226" s="14">
        <v>947.67499999999995</v>
      </c>
      <c r="I226" s="14">
        <v>803.49199999999996</v>
      </c>
      <c r="J226" s="14">
        <v>745.28300000000002</v>
      </c>
      <c r="K226" s="14">
        <v>161.53399999999999</v>
      </c>
    </row>
    <row r="227" spans="1:11" x14ac:dyDescent="0.35">
      <c r="A227" s="3">
        <v>37712</v>
      </c>
      <c r="B227" s="4">
        <v>11312.766</v>
      </c>
      <c r="C227" s="4">
        <v>919.83299999999997</v>
      </c>
      <c r="D227" s="4">
        <v>9425.634</v>
      </c>
      <c r="E227" s="21">
        <f>(I227+J227)/D227</f>
        <v>0.16631570884250332</v>
      </c>
      <c r="F227" s="12">
        <f>K227/C227</f>
        <v>0.17492305668528962</v>
      </c>
      <c r="G227" s="13">
        <v>9425.634</v>
      </c>
      <c r="H227" s="14">
        <v>964.25199999999995</v>
      </c>
      <c r="I227" s="14">
        <v>812.90499999999997</v>
      </c>
      <c r="J227" s="14">
        <v>754.726</v>
      </c>
      <c r="K227" s="14">
        <v>160.9</v>
      </c>
    </row>
    <row r="228" spans="1:11" x14ac:dyDescent="0.35">
      <c r="A228" s="3">
        <v>37803</v>
      </c>
      <c r="B228" s="4">
        <v>11566.669</v>
      </c>
      <c r="C228" s="4">
        <v>981.56399999999996</v>
      </c>
      <c r="D228" s="4">
        <v>9558.9740000000002</v>
      </c>
      <c r="E228" s="21">
        <f>(I228+J228)/D228</f>
        <v>0.15480332931128382</v>
      </c>
      <c r="F228" s="12">
        <f>K228/C228</f>
        <v>0.18369459352624995</v>
      </c>
      <c r="G228" s="13">
        <v>9558.9740000000002</v>
      </c>
      <c r="H228" s="14">
        <v>973.697</v>
      </c>
      <c r="I228" s="14">
        <v>716.5</v>
      </c>
      <c r="J228" s="14">
        <v>763.26099999999997</v>
      </c>
      <c r="K228" s="14">
        <v>180.30799999999999</v>
      </c>
    </row>
    <row r="229" spans="1:11" x14ac:dyDescent="0.35">
      <c r="A229" s="3">
        <v>37895</v>
      </c>
      <c r="B229" s="4">
        <v>11772.234</v>
      </c>
      <c r="C229" s="4">
        <v>1057.6179999999999</v>
      </c>
      <c r="D229" s="4">
        <v>9695.8089999999993</v>
      </c>
      <c r="E229" s="21">
        <f>(I229+J229)/D229</f>
        <v>0.16045695619622871</v>
      </c>
      <c r="F229" s="12">
        <f>K229/C229</f>
        <v>0.18947294769945291</v>
      </c>
      <c r="G229" s="13">
        <v>9695.8089999999993</v>
      </c>
      <c r="H229" s="14">
        <v>984.25900000000001</v>
      </c>
      <c r="I229" s="14">
        <v>781.62699999999995</v>
      </c>
      <c r="J229" s="14">
        <v>774.13300000000004</v>
      </c>
      <c r="K229" s="14">
        <v>200.39</v>
      </c>
    </row>
    <row r="230" spans="1:11" x14ac:dyDescent="0.35">
      <c r="A230" s="3">
        <v>37987</v>
      </c>
      <c r="B230" s="4">
        <v>11923.447</v>
      </c>
      <c r="C230" s="4">
        <v>1179.6379999999999</v>
      </c>
      <c r="D230" s="4">
        <v>9792.3739999999998</v>
      </c>
      <c r="E230" s="21">
        <f>(I230+J230)/D230</f>
        <v>0.15920633750304061</v>
      </c>
      <c r="F230" s="12">
        <f>K230/C230</f>
        <v>0.17730947968783645</v>
      </c>
      <c r="G230" s="13">
        <v>9792.3739999999998</v>
      </c>
      <c r="H230" s="14">
        <v>1003.595</v>
      </c>
      <c r="I230" s="14">
        <v>773.23299999999995</v>
      </c>
      <c r="J230" s="14">
        <v>785.77499999999998</v>
      </c>
      <c r="K230" s="14">
        <v>209.161</v>
      </c>
    </row>
    <row r="231" spans="1:11" x14ac:dyDescent="0.35">
      <c r="A231" s="3">
        <v>38078</v>
      </c>
      <c r="B231" s="4">
        <v>12112.815000000001</v>
      </c>
      <c r="C231" s="4">
        <v>1239.2850000000001</v>
      </c>
      <c r="D231" s="4">
        <v>9957.7980000000007</v>
      </c>
      <c r="E231" s="21">
        <f>(I231+J231)/D231</f>
        <v>0.15982760445632657</v>
      </c>
      <c r="F231" s="12">
        <f>K231/C231</f>
        <v>0.18233497540920771</v>
      </c>
      <c r="G231" s="13">
        <v>9957.7980000000007</v>
      </c>
      <c r="H231" s="14">
        <v>1013.462</v>
      </c>
      <c r="I231" s="14">
        <v>792.41</v>
      </c>
      <c r="J231" s="14">
        <v>799.12099999999998</v>
      </c>
      <c r="K231" s="14">
        <v>225.965</v>
      </c>
    </row>
    <row r="232" spans="1:11" x14ac:dyDescent="0.35">
      <c r="A232" s="3">
        <v>38169</v>
      </c>
      <c r="B232" s="4">
        <v>12305.307000000001</v>
      </c>
      <c r="C232" s="4">
        <v>1302.93</v>
      </c>
      <c r="D232" s="4">
        <v>10103.606</v>
      </c>
      <c r="E232" s="21">
        <f>(I232+J232)/D232</f>
        <v>0.16139396172020168</v>
      </c>
      <c r="F232" s="12">
        <f>K232/C232</f>
        <v>0.18762020983475702</v>
      </c>
      <c r="G232" s="13">
        <v>10103.606</v>
      </c>
      <c r="H232" s="14">
        <v>1024.057</v>
      </c>
      <c r="I232" s="14">
        <v>816.678</v>
      </c>
      <c r="J232" s="14">
        <v>813.98299999999995</v>
      </c>
      <c r="K232" s="14">
        <v>244.45599999999999</v>
      </c>
    </row>
    <row r="233" spans="1:11" x14ac:dyDescent="0.35">
      <c r="A233" s="3">
        <v>38261</v>
      </c>
      <c r="B233" s="4">
        <v>12527.214</v>
      </c>
      <c r="C233" s="4">
        <v>1308.9670000000001</v>
      </c>
      <c r="D233" s="4">
        <v>10323.272999999999</v>
      </c>
      <c r="E233" s="21">
        <f>(I233+J233)/D233</f>
        <v>0.15975747226678982</v>
      </c>
      <c r="F233" s="12">
        <f>K233/C233</f>
        <v>0.19040586966669137</v>
      </c>
      <c r="G233" s="13">
        <v>10323.272999999999</v>
      </c>
      <c r="H233" s="14">
        <v>1036.8979999999999</v>
      </c>
      <c r="I233" s="14">
        <v>829.755</v>
      </c>
      <c r="J233" s="14">
        <v>819.46500000000003</v>
      </c>
      <c r="K233" s="14">
        <v>249.23500000000001</v>
      </c>
    </row>
    <row r="234" spans="1:11" x14ac:dyDescent="0.35">
      <c r="A234" s="3">
        <v>38353</v>
      </c>
      <c r="B234" s="4">
        <v>12767.286</v>
      </c>
      <c r="C234" s="4">
        <v>1604.404</v>
      </c>
      <c r="D234" s="4">
        <v>10345.157999999999</v>
      </c>
      <c r="E234" s="21">
        <f>(I234+J234)/D234</f>
        <v>0.16777375463961014</v>
      </c>
      <c r="F234" s="12">
        <f>K234/C234</f>
        <v>0.19651658809127873</v>
      </c>
      <c r="G234" s="13">
        <v>10345.157999999999</v>
      </c>
      <c r="H234" s="14">
        <v>1065.2629999999999</v>
      </c>
      <c r="I234" s="14">
        <v>902.90099999999995</v>
      </c>
      <c r="J234" s="14">
        <v>832.745</v>
      </c>
      <c r="K234" s="14">
        <v>315.29199999999997</v>
      </c>
    </row>
    <row r="235" spans="1:11" x14ac:dyDescent="0.35">
      <c r="A235" s="3">
        <v>38443</v>
      </c>
      <c r="B235" s="4">
        <v>12922.656000000001</v>
      </c>
      <c r="C235" s="4">
        <v>1616.546</v>
      </c>
      <c r="D235" s="4">
        <v>10516.78</v>
      </c>
      <c r="E235" s="21">
        <f>(I235+J235)/D235</f>
        <v>0.16803070901930059</v>
      </c>
      <c r="F235" s="12">
        <f>K235/C235</f>
        <v>0.18932959532237251</v>
      </c>
      <c r="G235" s="13">
        <v>10516.78</v>
      </c>
      <c r="H235" s="14">
        <v>1075.9580000000001</v>
      </c>
      <c r="I235" s="14">
        <v>925.84900000000005</v>
      </c>
      <c r="J235" s="14">
        <v>841.29300000000001</v>
      </c>
      <c r="K235" s="14">
        <v>306.06</v>
      </c>
    </row>
    <row r="236" spans="1:11" x14ac:dyDescent="0.35">
      <c r="A236" s="3">
        <v>38534</v>
      </c>
      <c r="B236" s="4">
        <v>13142.642</v>
      </c>
      <c r="C236" s="4">
        <v>1667.23</v>
      </c>
      <c r="D236" s="4">
        <v>10686.073</v>
      </c>
      <c r="E236" s="21">
        <f>(I236+J236)/D236</f>
        <v>0.16887625603905196</v>
      </c>
      <c r="F236" s="12">
        <f>K236/C236</f>
        <v>0.18708696460596316</v>
      </c>
      <c r="G236" s="13">
        <v>10686.073</v>
      </c>
      <c r="H236" s="14">
        <v>1091.8430000000001</v>
      </c>
      <c r="I236" s="14">
        <v>949.52700000000004</v>
      </c>
      <c r="J236" s="14">
        <v>855.09699999999998</v>
      </c>
      <c r="K236" s="14">
        <v>311.91699999999997</v>
      </c>
    </row>
    <row r="237" spans="1:11" x14ac:dyDescent="0.35">
      <c r="A237" s="3">
        <v>38626</v>
      </c>
      <c r="B237" s="4">
        <v>13324.204</v>
      </c>
      <c r="C237" s="4">
        <v>1772.577</v>
      </c>
      <c r="D237" s="4">
        <v>10871.714</v>
      </c>
      <c r="E237" s="21">
        <f>(I237+J237)/D237</f>
        <v>0.16891365979642217</v>
      </c>
      <c r="F237" s="12">
        <f>K237/C237</f>
        <v>0.19445868924170853</v>
      </c>
      <c r="G237" s="13">
        <v>10871.714</v>
      </c>
      <c r="H237" s="14">
        <v>1104.4290000000001</v>
      </c>
      <c r="I237" s="14">
        <v>970.58900000000006</v>
      </c>
      <c r="J237" s="14">
        <v>865.79200000000003</v>
      </c>
      <c r="K237" s="14">
        <v>344.69299999999998</v>
      </c>
    </row>
    <row r="238" spans="1:11" x14ac:dyDescent="0.35">
      <c r="A238" s="3">
        <v>38718</v>
      </c>
      <c r="B238" s="4">
        <v>13599.16</v>
      </c>
      <c r="C238" s="4">
        <v>1809.2919999999999</v>
      </c>
      <c r="D238" s="4">
        <v>11181.08</v>
      </c>
      <c r="E238" s="21">
        <f>(I238+J238)/D238</f>
        <v>0.17135974342371221</v>
      </c>
      <c r="F238" s="12">
        <f>K238/C238</f>
        <v>0.19742860743318383</v>
      </c>
      <c r="G238" s="13">
        <v>11181.08</v>
      </c>
      <c r="H238" s="14">
        <v>1172.7070000000001</v>
      </c>
      <c r="I238" s="14">
        <v>1025.547</v>
      </c>
      <c r="J238" s="14">
        <v>890.44</v>
      </c>
      <c r="K238" s="14">
        <v>357.20600000000002</v>
      </c>
    </row>
    <row r="239" spans="1:11" x14ac:dyDescent="0.35">
      <c r="A239" s="3">
        <v>38808</v>
      </c>
      <c r="B239" s="4">
        <v>13753.424000000001</v>
      </c>
      <c r="C239" s="4">
        <v>1857.7860000000001</v>
      </c>
      <c r="D239" s="4">
        <v>11336.306</v>
      </c>
      <c r="E239" s="21">
        <f>(I239+J239)/D239</f>
        <v>0.17090179111255466</v>
      </c>
      <c r="F239" s="12">
        <f>K239/C239</f>
        <v>0.19768961548854388</v>
      </c>
      <c r="G239" s="13">
        <v>11336.306</v>
      </c>
      <c r="H239" s="14">
        <v>1183.9939999999999</v>
      </c>
      <c r="I239" s="14">
        <v>1041.1759999999999</v>
      </c>
      <c r="J239" s="14">
        <v>896.21900000000005</v>
      </c>
      <c r="K239" s="14">
        <v>367.26499999999999</v>
      </c>
    </row>
    <row r="240" spans="1:11" x14ac:dyDescent="0.35">
      <c r="A240" s="3">
        <v>38899</v>
      </c>
      <c r="B240" s="4">
        <v>13870.188</v>
      </c>
      <c r="C240" s="4">
        <v>1896.0809999999999</v>
      </c>
      <c r="D240" s="4">
        <v>11435.665000000001</v>
      </c>
      <c r="E240" s="21">
        <f>(I240+J240)/D240</f>
        <v>0.17161258221537617</v>
      </c>
      <c r="F240" s="12">
        <f>K240/C240</f>
        <v>0.20294860820819366</v>
      </c>
      <c r="G240" s="13">
        <v>11435.665000000001</v>
      </c>
      <c r="H240" s="14">
        <v>1194.097</v>
      </c>
      <c r="I240" s="14">
        <v>1060.8779999999999</v>
      </c>
      <c r="J240" s="14">
        <v>901.62599999999998</v>
      </c>
      <c r="K240" s="14">
        <v>384.80700000000002</v>
      </c>
    </row>
    <row r="241" spans="1:11" x14ac:dyDescent="0.35">
      <c r="A241" s="3">
        <v>38991</v>
      </c>
      <c r="B241" s="4">
        <v>14039.56</v>
      </c>
      <c r="C241" s="4">
        <v>1813.4839999999999</v>
      </c>
      <c r="D241" s="4">
        <v>11585.748</v>
      </c>
      <c r="E241" s="21">
        <f>(I241+J241)/D241</f>
        <v>0.17364800270124986</v>
      </c>
      <c r="F241" s="12">
        <f>K241/C241</f>
        <v>0.19550985837206172</v>
      </c>
      <c r="G241" s="13">
        <v>11585.748</v>
      </c>
      <c r="H241" s="14">
        <v>1205.635</v>
      </c>
      <c r="I241" s="14">
        <v>1095.7860000000001</v>
      </c>
      <c r="J241" s="14">
        <v>916.05600000000004</v>
      </c>
      <c r="K241" s="14">
        <v>354.55399999999997</v>
      </c>
    </row>
    <row r="242" spans="1:11" x14ac:dyDescent="0.35">
      <c r="A242" s="3">
        <v>39083</v>
      </c>
      <c r="B242" s="4">
        <v>14215.651</v>
      </c>
      <c r="C242" s="4">
        <v>1744.5619999999999</v>
      </c>
      <c r="D242" s="4">
        <v>11824.073</v>
      </c>
      <c r="E242" s="21">
        <f>(I242+J242)/D242</f>
        <v>0.17610386877685885</v>
      </c>
      <c r="F242" s="12">
        <f>K242/C242</f>
        <v>0.20317420647704124</v>
      </c>
      <c r="G242" s="13">
        <v>11824.073</v>
      </c>
      <c r="H242" s="14">
        <v>1240.0609999999999</v>
      </c>
      <c r="I242" s="14">
        <v>1146.001</v>
      </c>
      <c r="J242" s="14">
        <v>936.26400000000001</v>
      </c>
      <c r="K242" s="14">
        <v>354.45</v>
      </c>
    </row>
    <row r="243" spans="1:11" x14ac:dyDescent="0.35">
      <c r="A243" s="3">
        <v>39173</v>
      </c>
      <c r="B243" s="4">
        <v>14402.082</v>
      </c>
      <c r="C243" s="4">
        <v>1814.11</v>
      </c>
      <c r="D243" s="4">
        <v>11988.701999999999</v>
      </c>
      <c r="E243" s="21">
        <f>(I243+J243)/D243</f>
        <v>0.17535751576776204</v>
      </c>
      <c r="F243" s="12">
        <f>K243/C243</f>
        <v>0.19168462772378744</v>
      </c>
      <c r="G243" s="13">
        <v>11988.701999999999</v>
      </c>
      <c r="H243" s="14">
        <v>1256.721</v>
      </c>
      <c r="I243" s="14">
        <v>1163.932</v>
      </c>
      <c r="J243" s="14">
        <v>938.37699999999995</v>
      </c>
      <c r="K243" s="14">
        <v>347.73700000000002</v>
      </c>
    </row>
    <row r="244" spans="1:11" x14ac:dyDescent="0.35">
      <c r="A244" s="3">
        <v>39264</v>
      </c>
      <c r="B244" s="4">
        <v>14564.117</v>
      </c>
      <c r="C244" s="4">
        <v>1722.347</v>
      </c>
      <c r="D244" s="4">
        <v>12069.234</v>
      </c>
      <c r="E244" s="21">
        <f>(I244+J244)/D244</f>
        <v>0.17575912439844982</v>
      </c>
      <c r="F244" s="12">
        <f>K244/C244</f>
        <v>0.18266760414713182</v>
      </c>
      <c r="G244" s="13">
        <v>12069.234</v>
      </c>
      <c r="H244" s="14">
        <v>1270.2439999999999</v>
      </c>
      <c r="I244" s="14">
        <v>1179.259</v>
      </c>
      <c r="J244" s="14">
        <v>942.01900000000001</v>
      </c>
      <c r="K244" s="14">
        <v>314.61700000000002</v>
      </c>
    </row>
    <row r="245" spans="1:11" x14ac:dyDescent="0.35">
      <c r="A245" s="3">
        <v>39356</v>
      </c>
      <c r="B245" s="4">
        <v>14715.058000000001</v>
      </c>
      <c r="C245" s="4">
        <v>1726.7570000000001</v>
      </c>
      <c r="D245" s="4">
        <v>12203.422</v>
      </c>
      <c r="E245" s="21">
        <f>(I245+J245)/D245</f>
        <v>0.17602226654130293</v>
      </c>
      <c r="F245" s="12">
        <f>K245/C245</f>
        <v>0.17151052522155694</v>
      </c>
      <c r="G245" s="13">
        <v>12203.422</v>
      </c>
      <c r="H245" s="14">
        <v>1286.336</v>
      </c>
      <c r="I245" s="14">
        <v>1194.4110000000001</v>
      </c>
      <c r="J245" s="14">
        <v>953.66300000000001</v>
      </c>
      <c r="K245" s="14">
        <v>296.15699999999998</v>
      </c>
    </row>
    <row r="246" spans="1:11" x14ac:dyDescent="0.35">
      <c r="A246" s="3">
        <v>39448</v>
      </c>
      <c r="B246" s="4">
        <v>14706.538</v>
      </c>
      <c r="C246" s="4">
        <v>1558.7560000000001</v>
      </c>
      <c r="D246" s="4">
        <v>12335.319</v>
      </c>
      <c r="E246" s="21">
        <f>(I246+J246)/D246</f>
        <v>0.17568593078136041</v>
      </c>
      <c r="F246" s="12">
        <f>K246/C246</f>
        <v>0.15507301976704499</v>
      </c>
      <c r="G246" s="13">
        <v>12335.319</v>
      </c>
      <c r="H246" s="14">
        <v>1321.912</v>
      </c>
      <c r="I246" s="14">
        <v>1201.739</v>
      </c>
      <c r="J246" s="14">
        <v>965.40300000000002</v>
      </c>
      <c r="K246" s="14">
        <v>241.721</v>
      </c>
    </row>
    <row r="247" spans="1:11" x14ac:dyDescent="0.35">
      <c r="A247" s="3">
        <v>39539</v>
      </c>
      <c r="B247" s="4">
        <v>14865.700999999999</v>
      </c>
      <c r="C247" s="4">
        <v>1570.559</v>
      </c>
      <c r="D247" s="4">
        <v>12669.427</v>
      </c>
      <c r="E247" s="21">
        <f>(I247+J247)/D247</f>
        <v>0.17039965580132393</v>
      </c>
      <c r="F247" s="12">
        <f>K247/C247</f>
        <v>0.14460647451003114</v>
      </c>
      <c r="G247" s="13">
        <v>12669.427</v>
      </c>
      <c r="H247" s="14">
        <v>1657.029</v>
      </c>
      <c r="I247" s="14">
        <v>1191.3420000000001</v>
      </c>
      <c r="J247" s="14">
        <v>967.524</v>
      </c>
      <c r="K247" s="14">
        <v>227.113</v>
      </c>
    </row>
    <row r="248" spans="1:11" x14ac:dyDescent="0.35">
      <c r="A248" s="3">
        <v>39630</v>
      </c>
      <c r="B248" s="4">
        <v>14898.999</v>
      </c>
      <c r="C248" s="4">
        <v>1496.693</v>
      </c>
      <c r="D248" s="4">
        <v>12508.636</v>
      </c>
      <c r="E248" s="21">
        <f>(I248+J248)/D248</f>
        <v>0.17159920554087593</v>
      </c>
      <c r="F248" s="12">
        <f>K248/C248</f>
        <v>0.14133025276392686</v>
      </c>
      <c r="G248" s="13">
        <v>12508.636</v>
      </c>
      <c r="H248" s="14">
        <v>1445.2739999999999</v>
      </c>
      <c r="I248" s="14">
        <v>1173.67</v>
      </c>
      <c r="J248" s="14">
        <v>972.80200000000002</v>
      </c>
      <c r="K248" s="14">
        <v>211.52799999999999</v>
      </c>
    </row>
    <row r="249" spans="1:11" x14ac:dyDescent="0.35">
      <c r="A249" s="3">
        <v>39722</v>
      </c>
      <c r="B249" s="4">
        <v>14608.208000000001</v>
      </c>
      <c r="C249" s="4">
        <v>891.22299999999996</v>
      </c>
      <c r="D249" s="4">
        <v>12396.851000000001</v>
      </c>
      <c r="E249" s="21">
        <f>(I249+J249)/D249</f>
        <v>0.17042360192923184</v>
      </c>
      <c r="F249" s="12">
        <f>K249/C249</f>
        <v>0.14303939642491276</v>
      </c>
      <c r="G249" s="13">
        <v>12396.851000000001</v>
      </c>
      <c r="H249" s="14">
        <v>1428.7429999999999</v>
      </c>
      <c r="I249" s="14">
        <v>1139.7739999999999</v>
      </c>
      <c r="J249" s="14">
        <v>972.94200000000001</v>
      </c>
      <c r="K249" s="14">
        <v>127.48</v>
      </c>
    </row>
    <row r="250" spans="1:11" x14ac:dyDescent="0.35">
      <c r="A250" s="3">
        <v>39814</v>
      </c>
      <c r="B250" s="4">
        <v>14430.901</v>
      </c>
      <c r="C250" s="4">
        <v>1254.684</v>
      </c>
      <c r="D250" s="4">
        <v>12057.035</v>
      </c>
      <c r="E250" s="21">
        <f>(I250+J250)/D250</f>
        <v>0.1544563816891964</v>
      </c>
      <c r="F250" s="12">
        <f>K250/C250</f>
        <v>9.7820646473534376E-2</v>
      </c>
      <c r="G250" s="13">
        <v>12057.035</v>
      </c>
      <c r="H250" s="14">
        <v>1521.7629999999999</v>
      </c>
      <c r="I250" s="14">
        <v>921.23299999999995</v>
      </c>
      <c r="J250" s="14">
        <v>941.053</v>
      </c>
      <c r="K250" s="14">
        <v>122.73399999999999</v>
      </c>
    </row>
    <row r="251" spans="1:11" x14ac:dyDescent="0.35">
      <c r="A251" s="3">
        <v>39904</v>
      </c>
      <c r="B251" s="4">
        <v>14381.236000000001</v>
      </c>
      <c r="C251" s="4">
        <v>1356.9580000000001</v>
      </c>
      <c r="D251" s="4">
        <v>12087.321</v>
      </c>
      <c r="E251" s="21">
        <f>(I251+J251)/D251</f>
        <v>0.14917217802025776</v>
      </c>
      <c r="F251" s="12">
        <f>K251/C251</f>
        <v>0.10239373657843498</v>
      </c>
      <c r="G251" s="13">
        <v>12087.321</v>
      </c>
      <c r="H251" s="14">
        <v>1648.049</v>
      </c>
      <c r="I251" s="14">
        <v>855.50900000000001</v>
      </c>
      <c r="J251" s="14">
        <v>947.58299999999997</v>
      </c>
      <c r="K251" s="14">
        <v>138.94399999999999</v>
      </c>
    </row>
    <row r="252" spans="1:11" x14ac:dyDescent="0.35">
      <c r="A252" s="3">
        <v>39995</v>
      </c>
      <c r="B252" s="4">
        <v>14448.882</v>
      </c>
      <c r="C252" s="4">
        <v>1553.3710000000001</v>
      </c>
      <c r="D252" s="4">
        <v>12033.275</v>
      </c>
      <c r="E252" s="21">
        <f>(I252+J252)/D252</f>
        <v>0.14852889176055564</v>
      </c>
      <c r="F252" s="12">
        <f>K252/C252</f>
        <v>0.1026168249568197</v>
      </c>
      <c r="G252" s="13">
        <v>12033.275</v>
      </c>
      <c r="H252" s="14">
        <v>1634.4780000000001</v>
      </c>
      <c r="I252" s="14">
        <v>841.99800000000005</v>
      </c>
      <c r="J252" s="14">
        <v>945.29100000000005</v>
      </c>
      <c r="K252" s="14">
        <v>159.40199999999999</v>
      </c>
    </row>
    <row r="253" spans="1:11" x14ac:dyDescent="0.35">
      <c r="A253" s="3">
        <v>40087</v>
      </c>
      <c r="B253" s="4">
        <v>14651.248</v>
      </c>
      <c r="C253" s="4">
        <v>1704.953</v>
      </c>
      <c r="D253" s="4">
        <v>12144.02</v>
      </c>
      <c r="E253" s="21">
        <f>(I253+J253)/D253</f>
        <v>0.14792103438564824</v>
      </c>
      <c r="F253" s="12">
        <f>K253/C253</f>
        <v>0.1118916474530383</v>
      </c>
      <c r="G253" s="13">
        <v>12144.02</v>
      </c>
      <c r="H253" s="14">
        <v>1653.9059999999999</v>
      </c>
      <c r="I253" s="14">
        <v>847.46699999999998</v>
      </c>
      <c r="J253" s="14">
        <v>948.88900000000001</v>
      </c>
      <c r="K253" s="14">
        <v>190.77</v>
      </c>
    </row>
    <row r="254" spans="1:11" x14ac:dyDescent="0.35">
      <c r="A254" s="3">
        <v>40179</v>
      </c>
      <c r="B254" s="4">
        <v>14764.611000000001</v>
      </c>
      <c r="C254" s="4">
        <v>1786.9449999999999</v>
      </c>
      <c r="D254" s="4">
        <v>12321.196</v>
      </c>
      <c r="E254" s="21">
        <f>(I254+J254)/D254</f>
        <v>0.15088170012067012</v>
      </c>
      <c r="F254" s="12">
        <f>K254/C254</f>
        <v>0.11455976540967965</v>
      </c>
      <c r="G254" s="13">
        <v>12321.196</v>
      </c>
      <c r="H254" s="14">
        <v>1753.492</v>
      </c>
      <c r="I254" s="14">
        <v>903.375</v>
      </c>
      <c r="J254" s="14">
        <v>955.66800000000001</v>
      </c>
      <c r="K254" s="14">
        <v>204.71199999999999</v>
      </c>
    </row>
    <row r="255" spans="1:11" x14ac:dyDescent="0.35">
      <c r="A255" s="3">
        <v>40269</v>
      </c>
      <c r="B255" s="4">
        <v>14980.192999999999</v>
      </c>
      <c r="C255" s="4">
        <v>1779.3150000000001</v>
      </c>
      <c r="D255" s="4">
        <v>12544.653</v>
      </c>
      <c r="E255" s="21">
        <f>(I255+J255)/D255</f>
        <v>0.15161933933126728</v>
      </c>
      <c r="F255" s="12">
        <f>K255/C255</f>
        <v>0.11923802137339369</v>
      </c>
      <c r="G255" s="13">
        <v>12544.653</v>
      </c>
      <c r="H255" s="14">
        <v>1755.6669999999999</v>
      </c>
      <c r="I255" s="14">
        <v>935.221</v>
      </c>
      <c r="J255" s="14">
        <v>966.79100000000005</v>
      </c>
      <c r="K255" s="14">
        <v>212.16200000000001</v>
      </c>
    </row>
    <row r="256" spans="1:11" x14ac:dyDescent="0.35">
      <c r="A256" s="3">
        <v>40360</v>
      </c>
      <c r="B256" s="4">
        <v>15141.605</v>
      </c>
      <c r="C256" s="4">
        <v>1879.3340000000001</v>
      </c>
      <c r="D256" s="4">
        <v>12682.014999999999</v>
      </c>
      <c r="E256" s="21">
        <f>(I256+J256)/D256</f>
        <v>0.15204303101675878</v>
      </c>
      <c r="F256" s="12">
        <f>K256/C256</f>
        <v>0.12084653393170133</v>
      </c>
      <c r="G256" s="13">
        <v>12682.014999999999</v>
      </c>
      <c r="H256" s="14">
        <v>1758.8389999999999</v>
      </c>
      <c r="I256" s="14">
        <v>958.476</v>
      </c>
      <c r="J256" s="14">
        <v>969.73599999999999</v>
      </c>
      <c r="K256" s="14">
        <v>227.11099999999999</v>
      </c>
    </row>
    <row r="257" spans="1:11" x14ac:dyDescent="0.35">
      <c r="A257" s="3">
        <v>40452</v>
      </c>
      <c r="B257" s="4">
        <v>15309.471</v>
      </c>
      <c r="C257" s="4">
        <v>1890.461</v>
      </c>
      <c r="D257" s="4">
        <v>12830.203</v>
      </c>
      <c r="E257" s="21">
        <f>(I257+J257)/D257</f>
        <v>0.15190188339186839</v>
      </c>
      <c r="F257" s="12">
        <f>K257/C257</f>
        <v>0.12354764261204014</v>
      </c>
      <c r="G257" s="13">
        <v>12830.203</v>
      </c>
      <c r="H257" s="14">
        <v>1761.941</v>
      </c>
      <c r="I257" s="14">
        <v>977.20600000000002</v>
      </c>
      <c r="J257" s="14">
        <v>971.726</v>
      </c>
      <c r="K257" s="14">
        <v>233.56200000000001</v>
      </c>
    </row>
    <row r="258" spans="1:11" x14ac:dyDescent="0.35">
      <c r="A258" s="3">
        <v>40544</v>
      </c>
      <c r="B258" s="4">
        <v>15351.444</v>
      </c>
      <c r="C258" s="4">
        <v>1749.3440000000001</v>
      </c>
      <c r="D258" s="4">
        <v>13175.888000000001</v>
      </c>
      <c r="E258" s="21">
        <f>(I258+J258)/D258</f>
        <v>0.15219505508850711</v>
      </c>
      <c r="F258" s="12">
        <f>K258/C258</f>
        <v>0.13083418698666471</v>
      </c>
      <c r="G258" s="13">
        <v>13175.888000000001</v>
      </c>
      <c r="H258" s="14">
        <v>1768.605</v>
      </c>
      <c r="I258" s="14">
        <v>1111.3889999999999</v>
      </c>
      <c r="J258" s="14">
        <v>893.91600000000005</v>
      </c>
      <c r="K258" s="14">
        <v>228.874</v>
      </c>
    </row>
    <row r="259" spans="1:11" x14ac:dyDescent="0.35">
      <c r="A259" s="3">
        <v>40634</v>
      </c>
      <c r="B259" s="4">
        <v>15557.535</v>
      </c>
      <c r="C259" s="4">
        <v>1814.1969999999999</v>
      </c>
      <c r="D259" s="4">
        <v>13280.593999999999</v>
      </c>
      <c r="E259" s="21">
        <f>(I259+J259)/D259</f>
        <v>0.1523275992022646</v>
      </c>
      <c r="F259" s="12">
        <f>K259/C259</f>
        <v>0.12521352422035756</v>
      </c>
      <c r="G259" s="13">
        <v>13280.593999999999</v>
      </c>
      <c r="H259" s="14">
        <v>1777.4380000000001</v>
      </c>
      <c r="I259" s="14">
        <v>1126.463</v>
      </c>
      <c r="J259" s="14">
        <v>896.53800000000001</v>
      </c>
      <c r="K259" s="14">
        <v>227.16200000000001</v>
      </c>
    </row>
    <row r="260" spans="1:11" x14ac:dyDescent="0.35">
      <c r="A260" s="3">
        <v>40725</v>
      </c>
      <c r="B260" s="4">
        <v>15647.681</v>
      </c>
      <c r="C260" s="4">
        <v>1795.846</v>
      </c>
      <c r="D260" s="4">
        <v>13413.772999999999</v>
      </c>
      <c r="E260" s="21">
        <f>(I260+J260)/D260</f>
        <v>0.15276969425380912</v>
      </c>
      <c r="F260" s="12">
        <f>K260/C260</f>
        <v>0.11233814035279194</v>
      </c>
      <c r="G260" s="13">
        <v>13413.772999999999</v>
      </c>
      <c r="H260" s="14">
        <v>1782.4490000000001</v>
      </c>
      <c r="I260" s="14">
        <v>1144.2270000000001</v>
      </c>
      <c r="J260" s="14">
        <v>904.99099999999999</v>
      </c>
      <c r="K260" s="14">
        <v>201.74199999999999</v>
      </c>
    </row>
    <row r="261" spans="1:11" x14ac:dyDescent="0.35">
      <c r="A261" s="3">
        <v>40817</v>
      </c>
      <c r="B261" s="4">
        <v>15842.267</v>
      </c>
      <c r="C261" s="4">
        <v>1913.5340000000001</v>
      </c>
      <c r="D261" s="4">
        <v>13486.907999999999</v>
      </c>
      <c r="E261" s="21">
        <f>(I261+J261)/D261</f>
        <v>0.15131029291517376</v>
      </c>
      <c r="F261" s="12">
        <f>K261/C261</f>
        <v>0.12439444504252341</v>
      </c>
      <c r="G261" s="13">
        <v>13486.907999999999</v>
      </c>
      <c r="H261" s="14">
        <v>1789.325</v>
      </c>
      <c r="I261" s="14">
        <v>1140.9690000000001</v>
      </c>
      <c r="J261" s="14">
        <v>899.73900000000003</v>
      </c>
      <c r="K261" s="14">
        <v>238.03299999999999</v>
      </c>
    </row>
    <row r="262" spans="1:11" x14ac:dyDescent="0.35">
      <c r="A262" s="3">
        <v>40909</v>
      </c>
      <c r="B262" s="4">
        <v>16068.824000000001</v>
      </c>
      <c r="C262" s="4">
        <v>2199.9090000000001</v>
      </c>
      <c r="D262" s="4">
        <v>13786.257</v>
      </c>
      <c r="E262" s="21">
        <f>(I262+J262)/D262</f>
        <v>0.14950889135462947</v>
      </c>
      <c r="F262" s="12">
        <f>K262/C262</f>
        <v>0.11888673576952502</v>
      </c>
      <c r="G262" s="13">
        <v>13786.257</v>
      </c>
      <c r="H262" s="14">
        <v>1772.942</v>
      </c>
      <c r="I262" s="14">
        <v>1138.252</v>
      </c>
      <c r="J262" s="14">
        <v>922.91600000000005</v>
      </c>
      <c r="K262" s="14">
        <v>261.54000000000002</v>
      </c>
    </row>
    <row r="263" spans="1:11" x14ac:dyDescent="0.35">
      <c r="A263" s="3">
        <v>41000</v>
      </c>
      <c r="B263" s="4">
        <v>16207.13</v>
      </c>
      <c r="C263" s="4">
        <v>2135.9810000000002</v>
      </c>
      <c r="D263" s="4">
        <v>13945.868</v>
      </c>
      <c r="E263" s="21">
        <f>(I263+J263)/D263</f>
        <v>0.14902048406022483</v>
      </c>
      <c r="F263" s="12">
        <f>K263/C263</f>
        <v>0.12898897508919788</v>
      </c>
      <c r="G263" s="13">
        <v>13945.868</v>
      </c>
      <c r="H263" s="14">
        <v>1777.473</v>
      </c>
      <c r="I263" s="14">
        <v>1150.6489999999999</v>
      </c>
      <c r="J263" s="14">
        <v>927.57100000000003</v>
      </c>
      <c r="K263" s="14">
        <v>275.51799999999997</v>
      </c>
    </row>
    <row r="264" spans="1:11" x14ac:dyDescent="0.35">
      <c r="A264" s="3">
        <v>41091</v>
      </c>
      <c r="B264" s="4">
        <v>16319.54</v>
      </c>
      <c r="C264" s="4">
        <v>2160.0509999999999</v>
      </c>
      <c r="D264" s="4">
        <v>13922.653</v>
      </c>
      <c r="E264" s="21">
        <f>(I264+J264)/D264</f>
        <v>0.15042578451104111</v>
      </c>
      <c r="F264" s="12">
        <f>K264/C264</f>
        <v>0.13000526376460556</v>
      </c>
      <c r="G264" s="13">
        <v>13922.653</v>
      </c>
      <c r="H264" s="14">
        <v>1783.5619999999999</v>
      </c>
      <c r="I264" s="14">
        <v>1163.7719999999999</v>
      </c>
      <c r="J264" s="14">
        <v>930.55399999999997</v>
      </c>
      <c r="K264" s="14">
        <v>280.81799999999998</v>
      </c>
    </row>
    <row r="265" spans="1:11" x14ac:dyDescent="0.35">
      <c r="A265" s="3">
        <v>41183</v>
      </c>
      <c r="B265" s="4">
        <v>16420.385999999999</v>
      </c>
      <c r="C265" s="4">
        <v>2128.4699999999998</v>
      </c>
      <c r="D265" s="4">
        <v>14402.575999999999</v>
      </c>
      <c r="E265" s="21">
        <f>(I265+J265)/D265</f>
        <v>0.15032908002012976</v>
      </c>
      <c r="F265" s="12">
        <f>K265/C265</f>
        <v>0.13198447711266781</v>
      </c>
      <c r="G265" s="13">
        <v>14402.575999999999</v>
      </c>
      <c r="H265" s="14">
        <v>1793.357</v>
      </c>
      <c r="I265" s="14">
        <v>1212.867</v>
      </c>
      <c r="J265" s="14">
        <v>952.25900000000001</v>
      </c>
      <c r="K265" s="14">
        <v>280.92500000000001</v>
      </c>
    </row>
    <row r="266" spans="1:11" x14ac:dyDescent="0.35">
      <c r="A266" s="3">
        <v>41275</v>
      </c>
      <c r="B266" s="4">
        <v>16629.05</v>
      </c>
      <c r="C266" s="4">
        <v>2127.0929999999998</v>
      </c>
      <c r="D266" s="4">
        <v>14019.508</v>
      </c>
      <c r="E266" s="21">
        <f>(I266+J266)/D266</f>
        <v>0.16740152364833344</v>
      </c>
      <c r="F266" s="12">
        <f>K266/C266</f>
        <v>0.13963705395109666</v>
      </c>
      <c r="G266" s="13">
        <v>14019.508</v>
      </c>
      <c r="H266" s="14">
        <v>1817.32</v>
      </c>
      <c r="I266" s="14">
        <v>1273.5329999999999</v>
      </c>
      <c r="J266" s="14">
        <v>1073.354</v>
      </c>
      <c r="K266" s="14">
        <v>297.02100000000002</v>
      </c>
    </row>
    <row r="267" spans="1:11" x14ac:dyDescent="0.35">
      <c r="A267" s="3">
        <v>41365</v>
      </c>
      <c r="B267" s="4">
        <v>16699.550999999999</v>
      </c>
      <c r="C267" s="4">
        <v>2114.721</v>
      </c>
      <c r="D267" s="4">
        <v>14152.967000000001</v>
      </c>
      <c r="E267" s="21">
        <f>(I267+J267)/D267</f>
        <v>0.16830145933358001</v>
      </c>
      <c r="F267" s="12">
        <f>K267/C267</f>
        <v>0.13864571260227709</v>
      </c>
      <c r="G267" s="13">
        <v>14152.967000000001</v>
      </c>
      <c r="H267" s="14">
        <v>1815.49</v>
      </c>
      <c r="I267" s="14">
        <v>1296.4059999999999</v>
      </c>
      <c r="J267" s="14">
        <v>1085.559</v>
      </c>
      <c r="K267" s="14">
        <v>293.197</v>
      </c>
    </row>
    <row r="268" spans="1:11" x14ac:dyDescent="0.35">
      <c r="A268" s="3">
        <v>41456</v>
      </c>
      <c r="B268" s="4">
        <v>16911.067999999999</v>
      </c>
      <c r="C268" s="4">
        <v>2157.5100000000002</v>
      </c>
      <c r="D268" s="4">
        <v>14244.127</v>
      </c>
      <c r="E268" s="21">
        <f>(I268+J268)/D268</f>
        <v>0.16826436607873546</v>
      </c>
      <c r="F268" s="12">
        <f>K268/C268</f>
        <v>0.13958637503418292</v>
      </c>
      <c r="G268" s="13">
        <v>14244.127</v>
      </c>
      <c r="H268" s="14">
        <v>1823.248</v>
      </c>
      <c r="I268" s="14">
        <v>1308.2929999999999</v>
      </c>
      <c r="J268" s="14">
        <v>1088.4860000000001</v>
      </c>
      <c r="K268" s="14">
        <v>301.15899999999999</v>
      </c>
    </row>
    <row r="269" spans="1:11" x14ac:dyDescent="0.35">
      <c r="A269" s="3">
        <v>41548</v>
      </c>
      <c r="B269" s="4">
        <v>17133.114000000001</v>
      </c>
      <c r="C269" s="4">
        <v>2206.7660000000001</v>
      </c>
      <c r="D269" s="4">
        <v>14358.025</v>
      </c>
      <c r="E269" s="21">
        <f>(I269+J269)/D269</f>
        <v>0.16940178053736502</v>
      </c>
      <c r="F269" s="12">
        <f>K269/C269</f>
        <v>0.13700954247074679</v>
      </c>
      <c r="G269" s="13">
        <v>14358.025</v>
      </c>
      <c r="H269" s="14">
        <v>1830.0540000000001</v>
      </c>
      <c r="I269" s="14">
        <v>1333.1690000000001</v>
      </c>
      <c r="J269" s="14">
        <v>1099.106</v>
      </c>
      <c r="K269" s="14">
        <v>302.34800000000001</v>
      </c>
    </row>
    <row r="270" spans="1:11" x14ac:dyDescent="0.35">
      <c r="A270" s="3">
        <v>41640</v>
      </c>
      <c r="B270" s="4">
        <v>17144.280999999999</v>
      </c>
      <c r="C270" s="4">
        <v>2171.3270000000002</v>
      </c>
      <c r="D270" s="4">
        <v>14625.084000000001</v>
      </c>
      <c r="E270" s="21">
        <f>(I270+J270)/D270</f>
        <v>0.17028613305742377</v>
      </c>
      <c r="F270" s="12">
        <f>K270/C270</f>
        <v>0.15493843165953355</v>
      </c>
      <c r="G270" s="13">
        <v>14625.084000000001</v>
      </c>
      <c r="H270" s="14">
        <v>1848.11</v>
      </c>
      <c r="I270" s="14">
        <v>1369.11</v>
      </c>
      <c r="J270" s="14">
        <v>1121.3389999999999</v>
      </c>
      <c r="K270" s="14">
        <v>336.42200000000003</v>
      </c>
    </row>
    <row r="271" spans="1:11" x14ac:dyDescent="0.35">
      <c r="A271" s="3">
        <v>41730</v>
      </c>
      <c r="B271" s="4">
        <v>17462.703000000001</v>
      </c>
      <c r="C271" s="4">
        <v>2290.9479999999999</v>
      </c>
      <c r="D271" s="4">
        <v>14874.611000000001</v>
      </c>
      <c r="E271" s="21">
        <f>(I271+J271)/D271</f>
        <v>0.16906606834961935</v>
      </c>
      <c r="F271" s="12">
        <f>K271/C271</f>
        <v>0.15713407724662454</v>
      </c>
      <c r="G271" s="13">
        <v>14874.611000000001</v>
      </c>
      <c r="H271" s="14">
        <v>1876.787</v>
      </c>
      <c r="I271" s="14">
        <v>1389.0029999999999</v>
      </c>
      <c r="J271" s="14">
        <v>1125.789</v>
      </c>
      <c r="K271" s="14">
        <v>359.98599999999999</v>
      </c>
    </row>
    <row r="272" spans="1:11" x14ac:dyDescent="0.35">
      <c r="A272" s="3">
        <v>41821</v>
      </c>
      <c r="B272" s="4">
        <v>17743.226999999999</v>
      </c>
      <c r="C272" s="4">
        <v>2315.6350000000002</v>
      </c>
      <c r="D272" s="4">
        <v>15099.486000000001</v>
      </c>
      <c r="E272" s="21">
        <f>(I272+J272)/D272</f>
        <v>0.16891429284414053</v>
      </c>
      <c r="F272" s="12">
        <f>K272/C272</f>
        <v>0.14255009964869245</v>
      </c>
      <c r="G272" s="13">
        <v>15099.486000000001</v>
      </c>
      <c r="H272" s="14">
        <v>1890.4760000000001</v>
      </c>
      <c r="I272" s="14">
        <v>1413.271</v>
      </c>
      <c r="J272" s="14">
        <v>1137.248</v>
      </c>
      <c r="K272" s="14">
        <v>330.09399999999999</v>
      </c>
    </row>
    <row r="273" spans="1:11" x14ac:dyDescent="0.35">
      <c r="A273" s="3">
        <v>41913</v>
      </c>
      <c r="B273" s="4">
        <v>17852.54</v>
      </c>
      <c r="C273" s="4">
        <v>2279.9789999999998</v>
      </c>
      <c r="D273" s="4">
        <v>15307.118</v>
      </c>
      <c r="E273" s="21">
        <f>(I273+J273)/D273</f>
        <v>0.16974939371343448</v>
      </c>
      <c r="F273" s="12">
        <f>K273/C273</f>
        <v>0.14565748193294764</v>
      </c>
      <c r="G273" s="13">
        <v>15307.118</v>
      </c>
      <c r="H273" s="14">
        <v>1908.96</v>
      </c>
      <c r="I273" s="14">
        <v>1443.5219999999999</v>
      </c>
      <c r="J273" s="14">
        <v>1154.8520000000001</v>
      </c>
      <c r="K273" s="14">
        <v>332.096</v>
      </c>
    </row>
    <row r="274" spans="1:11" x14ac:dyDescent="0.35">
      <c r="A274" s="3">
        <v>42005</v>
      </c>
      <c r="B274" s="4">
        <v>17991.348000000002</v>
      </c>
      <c r="C274" s="4">
        <v>2185.4279999999999</v>
      </c>
      <c r="D274" s="4">
        <v>15497.731</v>
      </c>
      <c r="E274" s="21">
        <f>(I274+J274)/D274</f>
        <v>0.17286995109155012</v>
      </c>
      <c r="F274" s="12">
        <f>K274/C274</f>
        <v>0.15829027540600743</v>
      </c>
      <c r="G274" s="13">
        <v>15497.731</v>
      </c>
      <c r="H274" s="14">
        <v>1945.4970000000001</v>
      </c>
      <c r="I274" s="14">
        <v>1509.143</v>
      </c>
      <c r="J274" s="14">
        <v>1169.9490000000001</v>
      </c>
      <c r="K274" s="14">
        <v>345.93200000000002</v>
      </c>
    </row>
    <row r="275" spans="1:11" x14ac:dyDescent="0.35">
      <c r="A275" s="3">
        <v>42095</v>
      </c>
      <c r="B275" s="4">
        <v>18193.706999999999</v>
      </c>
      <c r="C275" s="4">
        <v>2208.9450000000002</v>
      </c>
      <c r="D275" s="4">
        <v>15639.877</v>
      </c>
      <c r="E275" s="21">
        <f>(I275+J275)/D275</f>
        <v>0.1732424110496521</v>
      </c>
      <c r="F275" s="12">
        <f>K275/C275</f>
        <v>0.1589107017150721</v>
      </c>
      <c r="G275" s="13">
        <v>15639.877</v>
      </c>
      <c r="H275" s="14">
        <v>1966.58</v>
      </c>
      <c r="I275" s="14">
        <v>1527.675</v>
      </c>
      <c r="J275" s="14">
        <v>1181.8150000000001</v>
      </c>
      <c r="K275" s="14">
        <v>351.02499999999998</v>
      </c>
    </row>
    <row r="276" spans="1:11" x14ac:dyDescent="0.35">
      <c r="A276" s="3">
        <v>42186</v>
      </c>
      <c r="B276" s="4">
        <v>18306.96</v>
      </c>
      <c r="C276" s="4">
        <v>2123.0569999999998</v>
      </c>
      <c r="D276" s="4">
        <v>15756.950999999999</v>
      </c>
      <c r="E276" s="21">
        <f>(I276+J276)/D276</f>
        <v>0.17341064270619361</v>
      </c>
      <c r="F276" s="12">
        <f>K276/C276</f>
        <v>0.1525145109151568</v>
      </c>
      <c r="G276" s="13">
        <v>15756.950999999999</v>
      </c>
      <c r="H276" s="14">
        <v>1977.646</v>
      </c>
      <c r="I276" s="14">
        <v>1540.8620000000001</v>
      </c>
      <c r="J276" s="14">
        <v>1191.5609999999999</v>
      </c>
      <c r="K276" s="14">
        <v>323.79700000000003</v>
      </c>
    </row>
    <row r="277" spans="1:11" x14ac:dyDescent="0.35">
      <c r="A277" s="3">
        <v>42278</v>
      </c>
      <c r="B277" s="4">
        <v>18332.079000000002</v>
      </c>
      <c r="C277" s="4">
        <v>1995.626</v>
      </c>
      <c r="D277" s="4">
        <v>15846.353999999999</v>
      </c>
      <c r="E277" s="21">
        <f>(I277+J277)/D277</f>
        <v>0.17362776320660261</v>
      </c>
      <c r="F277" s="12">
        <f>K277/C277</f>
        <v>0.14812294488045355</v>
      </c>
      <c r="G277" s="13">
        <v>15846.353999999999</v>
      </c>
      <c r="H277" s="14">
        <v>1989.741</v>
      </c>
      <c r="I277" s="14">
        <v>1552.6310000000001</v>
      </c>
      <c r="J277" s="14">
        <v>1198.7360000000001</v>
      </c>
      <c r="K277" s="14">
        <v>295.59800000000001</v>
      </c>
    </row>
    <row r="278" spans="1:11" x14ac:dyDescent="0.35">
      <c r="A278" s="3">
        <v>42370</v>
      </c>
      <c r="B278" s="4">
        <v>18425.306</v>
      </c>
      <c r="C278" s="4">
        <v>2071.8000000000002</v>
      </c>
      <c r="D278" s="4">
        <v>15918.581</v>
      </c>
      <c r="E278" s="21">
        <f>(I278+J278)/D278</f>
        <v>0.1716419949743008</v>
      </c>
      <c r="F278" s="12">
        <f>K278/C278</f>
        <v>0.14994014866299835</v>
      </c>
      <c r="G278" s="13">
        <v>15918.581</v>
      </c>
      <c r="H278" s="14">
        <v>2006.2460000000001</v>
      </c>
      <c r="I278" s="14">
        <v>1526.778</v>
      </c>
      <c r="J278" s="14">
        <v>1205.519</v>
      </c>
      <c r="K278" s="14">
        <v>310.64600000000002</v>
      </c>
    </row>
    <row r="279" spans="1:11" x14ac:dyDescent="0.35">
      <c r="A279" s="3">
        <v>42461</v>
      </c>
      <c r="B279" s="4">
        <v>18611.616999999998</v>
      </c>
      <c r="C279" s="4">
        <v>2137.3119999999999</v>
      </c>
      <c r="D279" s="4">
        <v>16002.071</v>
      </c>
      <c r="E279" s="21">
        <f>(I279+J279)/D279</f>
        <v>0.17173914551435249</v>
      </c>
      <c r="F279" s="12">
        <f>K279/C279</f>
        <v>0.1474922706652094</v>
      </c>
      <c r="G279" s="13">
        <v>16002.071</v>
      </c>
      <c r="H279" s="14">
        <v>2018.038</v>
      </c>
      <c r="I279" s="14">
        <v>1536.722</v>
      </c>
      <c r="J279" s="14">
        <v>1211.46</v>
      </c>
      <c r="K279" s="14">
        <v>315.23700000000002</v>
      </c>
    </row>
    <row r="280" spans="1:11" x14ac:dyDescent="0.35">
      <c r="A280" s="3">
        <v>42552</v>
      </c>
      <c r="B280" s="4">
        <v>18775.458999999999</v>
      </c>
      <c r="C280" s="4">
        <v>2139.3919999999998</v>
      </c>
      <c r="D280" s="4">
        <v>16151.634</v>
      </c>
      <c r="E280" s="21">
        <f>(I280+J280)/D280</f>
        <v>0.17188731493048942</v>
      </c>
      <c r="F280" s="12">
        <f>K280/C280</f>
        <v>0.15049883331338998</v>
      </c>
      <c r="G280" s="13">
        <v>16151.634</v>
      </c>
      <c r="H280" s="14">
        <v>2029.1089999999999</v>
      </c>
      <c r="I280" s="14">
        <v>1553.7840000000001</v>
      </c>
      <c r="J280" s="14">
        <v>1222.4770000000001</v>
      </c>
      <c r="K280" s="14">
        <v>321.976</v>
      </c>
    </row>
    <row r="281" spans="1:11" x14ac:dyDescent="0.35">
      <c r="A281" s="3">
        <v>42644</v>
      </c>
      <c r="B281" s="4">
        <v>18968.041000000001</v>
      </c>
      <c r="C281" s="4">
        <v>2188.4319999999998</v>
      </c>
      <c r="D281" s="4">
        <v>16315.281999999999</v>
      </c>
      <c r="E281" s="21">
        <f>(I281+J281)/D281</f>
        <v>0.17226475153785267</v>
      </c>
      <c r="F281" s="12">
        <f>K281/C281</f>
        <v>0.13689893037572107</v>
      </c>
      <c r="G281" s="13">
        <v>16315.281999999999</v>
      </c>
      <c r="H281" s="14">
        <v>2043.499</v>
      </c>
      <c r="I281" s="14">
        <v>1574.5</v>
      </c>
      <c r="J281" s="14">
        <v>1236.048</v>
      </c>
      <c r="K281" s="14">
        <v>299.59399999999999</v>
      </c>
    </row>
    <row r="282" spans="1:11" x14ac:dyDescent="0.35">
      <c r="A282" s="3">
        <v>42736</v>
      </c>
      <c r="B282" s="4">
        <v>19153.912</v>
      </c>
      <c r="C282" s="4">
        <v>2211.7869999999998</v>
      </c>
      <c r="D282" s="4">
        <v>16552.018</v>
      </c>
      <c r="E282" s="21">
        <f>(I282+J282)/D282</f>
        <v>0.1714299730703531</v>
      </c>
      <c r="F282" s="12">
        <f>K282/C282</f>
        <v>0.10547308578990654</v>
      </c>
      <c r="G282" s="13">
        <v>16552.018</v>
      </c>
      <c r="H282" s="14">
        <v>2074.9160000000002</v>
      </c>
      <c r="I282" s="14">
        <v>1580.3409999999999</v>
      </c>
      <c r="J282" s="14">
        <v>1257.171</v>
      </c>
      <c r="K282" s="14">
        <v>233.28399999999999</v>
      </c>
    </row>
    <row r="283" spans="1:11" x14ac:dyDescent="0.35">
      <c r="A283" s="3">
        <v>42826</v>
      </c>
      <c r="B283" s="4">
        <v>19322.919999999998</v>
      </c>
      <c r="C283" s="4">
        <v>2202.2820000000002</v>
      </c>
      <c r="D283" s="4">
        <v>16739.655999999999</v>
      </c>
      <c r="E283" s="21">
        <f>(I283+J283)/D283</f>
        <v>0.17148404961248906</v>
      </c>
      <c r="F283" s="12">
        <f>K283/C283</f>
        <v>0.10970983734144854</v>
      </c>
      <c r="G283" s="13">
        <v>16739.655999999999</v>
      </c>
      <c r="H283" s="14">
        <v>2088.5100000000002</v>
      </c>
      <c r="I283" s="14">
        <v>1600.7260000000001</v>
      </c>
      <c r="J283" s="14">
        <v>1269.8579999999999</v>
      </c>
      <c r="K283" s="14">
        <v>241.61199999999999</v>
      </c>
    </row>
    <row r="284" spans="1:11" x14ac:dyDescent="0.35">
      <c r="A284" s="3">
        <v>42917</v>
      </c>
      <c r="B284" s="4">
        <v>19558.692999999999</v>
      </c>
      <c r="C284" s="4">
        <v>2271.7930000000001</v>
      </c>
      <c r="D284" s="4">
        <v>16932.377</v>
      </c>
      <c r="E284" s="21">
        <f>(I284+J284)/D284</f>
        <v>0.17179076511230526</v>
      </c>
      <c r="F284" s="12">
        <f>K284/C284</f>
        <v>0.11243762085718197</v>
      </c>
      <c r="G284" s="13">
        <v>16932.377</v>
      </c>
      <c r="H284" s="14">
        <v>2106.808</v>
      </c>
      <c r="I284" s="14">
        <v>1623.7840000000001</v>
      </c>
      <c r="J284" s="14">
        <v>1285.0419999999999</v>
      </c>
      <c r="K284" s="14">
        <v>255.435</v>
      </c>
    </row>
    <row r="285" spans="1:11" x14ac:dyDescent="0.35">
      <c r="A285" s="3">
        <v>43009</v>
      </c>
      <c r="B285" s="4">
        <v>19882.965</v>
      </c>
      <c r="C285" s="4">
        <v>2093.1419999999998</v>
      </c>
      <c r="D285" s="4">
        <v>17176.721000000001</v>
      </c>
      <c r="E285" s="21">
        <f>(I285+J285)/D285</f>
        <v>0.17192332576165145</v>
      </c>
      <c r="F285" s="12">
        <f>K285/C285</f>
        <v>0.1200534889653927</v>
      </c>
      <c r="G285" s="13">
        <v>17176.721000000001</v>
      </c>
      <c r="H285" s="14">
        <v>2124.902</v>
      </c>
      <c r="I285" s="14">
        <v>1649.3889999999999</v>
      </c>
      <c r="J285" s="14">
        <v>1303.69</v>
      </c>
      <c r="K285" s="14">
        <v>251.28899999999999</v>
      </c>
    </row>
    <row r="286" spans="1:11" x14ac:dyDescent="0.35">
      <c r="A286" s="3">
        <v>43101</v>
      </c>
      <c r="B286" s="4">
        <v>20143.716</v>
      </c>
      <c r="C286" s="4">
        <v>2203.3829999999998</v>
      </c>
      <c r="D286" s="4">
        <v>17406.059000000001</v>
      </c>
      <c r="E286" s="21">
        <f>(I286+J286)/D286</f>
        <v>0.16777697926911542</v>
      </c>
      <c r="F286" s="12">
        <f>K286/C286</f>
        <v>8.5862966175195149E-2</v>
      </c>
      <c r="G286" s="13">
        <v>17406.059000000001</v>
      </c>
      <c r="H286" s="14">
        <v>2172.9250000000002</v>
      </c>
      <c r="I286" s="14">
        <v>1597.2149999999999</v>
      </c>
      <c r="J286" s="14">
        <v>1323.1210000000001</v>
      </c>
      <c r="K286" s="14">
        <v>189.18899999999999</v>
      </c>
    </row>
    <row r="287" spans="1:11" x14ac:dyDescent="0.35">
      <c r="A287" s="3">
        <v>43191</v>
      </c>
      <c r="B287" s="4">
        <v>20492.491999999998</v>
      </c>
      <c r="C287" s="4">
        <v>2254.9540000000002</v>
      </c>
      <c r="D287" s="4">
        <v>17598.478999999999</v>
      </c>
      <c r="E287" s="21">
        <f>(I287+J287)/D287</f>
        <v>0.16705523244366741</v>
      </c>
      <c r="F287" s="12">
        <f>K287/C287</f>
        <v>9.324048295441946E-2</v>
      </c>
      <c r="G287" s="13">
        <v>17598.478999999999</v>
      </c>
      <c r="H287" s="14">
        <v>2186.7689999999998</v>
      </c>
      <c r="I287" s="14">
        <v>1607.3889999999999</v>
      </c>
      <c r="J287" s="14">
        <v>1332.529</v>
      </c>
      <c r="K287" s="14">
        <v>210.25299999999999</v>
      </c>
    </row>
    <row r="288" spans="1:11" x14ac:dyDescent="0.35">
      <c r="A288" s="3">
        <v>43282</v>
      </c>
      <c r="B288" s="4">
        <v>20659.101999999999</v>
      </c>
      <c r="C288" s="4">
        <v>2273.248</v>
      </c>
      <c r="D288" s="4">
        <v>17821.094000000001</v>
      </c>
      <c r="E288" s="21">
        <f>(I288+J288)/D288</f>
        <v>0.16697201642054071</v>
      </c>
      <c r="F288" s="12">
        <f>K288/C288</f>
        <v>9.3829181857852731E-2</v>
      </c>
      <c r="G288" s="13">
        <v>17821.094000000001</v>
      </c>
      <c r="H288" s="14">
        <v>2203.4740000000002</v>
      </c>
      <c r="I288" s="14">
        <v>1627.1420000000001</v>
      </c>
      <c r="J288" s="14">
        <v>1348.482</v>
      </c>
      <c r="K288" s="14">
        <v>213.297</v>
      </c>
    </row>
    <row r="289" spans="1:11" x14ac:dyDescent="0.35">
      <c r="A289" s="3">
        <v>43374</v>
      </c>
      <c r="B289" s="4">
        <v>20813.325000000001</v>
      </c>
      <c r="C289" s="4">
        <v>2304.4760000000001</v>
      </c>
      <c r="D289" s="4">
        <v>17998.312999999998</v>
      </c>
      <c r="E289" s="21">
        <f>(I289+J289)/D289</f>
        <v>0.16613329260359014</v>
      </c>
      <c r="F289" s="12">
        <f>K289/C289</f>
        <v>9.6547327895799312E-2</v>
      </c>
      <c r="G289" s="13">
        <v>17998.312999999998</v>
      </c>
      <c r="H289" s="14">
        <v>2222.3380000000002</v>
      </c>
      <c r="I289" s="14">
        <v>1634.0820000000001</v>
      </c>
      <c r="J289" s="14">
        <v>1356.037</v>
      </c>
      <c r="K289" s="14">
        <v>222.49100000000001</v>
      </c>
    </row>
    <row r="290" spans="1:11" x14ac:dyDescent="0.35">
      <c r="A290" s="3">
        <v>43466</v>
      </c>
      <c r="B290" s="4">
        <v>21001.591</v>
      </c>
      <c r="C290" s="4">
        <v>2234.596</v>
      </c>
      <c r="D290" s="4">
        <v>18238.894</v>
      </c>
      <c r="E290" s="21">
        <f>(I290+J290)/D290</f>
        <v>0.16905575524480818</v>
      </c>
      <c r="F290" s="12">
        <f>K290/C290</f>
        <v>9.4536104065343352E-2</v>
      </c>
      <c r="G290" s="13">
        <v>18238.894</v>
      </c>
      <c r="H290" s="14">
        <v>2298.0880000000002</v>
      </c>
      <c r="I290" s="14">
        <v>1696.3610000000001</v>
      </c>
      <c r="J290" s="14">
        <v>1387.029</v>
      </c>
      <c r="K290" s="14">
        <v>211.25</v>
      </c>
    </row>
    <row r="291" spans="1:11" x14ac:dyDescent="0.35">
      <c r="A291" s="3">
        <v>43556</v>
      </c>
      <c r="B291" s="4">
        <v>21289.268</v>
      </c>
      <c r="C291" s="4">
        <v>2289.3420000000001</v>
      </c>
      <c r="D291" s="4">
        <v>18345.401000000002</v>
      </c>
      <c r="E291" s="21">
        <f>(I291+J291)/D291</f>
        <v>0.16876082457941366</v>
      </c>
      <c r="F291" s="12">
        <f>K291/C291</f>
        <v>9.5611315391059964E-2</v>
      </c>
      <c r="G291" s="13">
        <v>18345.401000000002</v>
      </c>
      <c r="H291" s="14">
        <v>2315.489</v>
      </c>
      <c r="I291" s="14">
        <v>1701.8720000000001</v>
      </c>
      <c r="J291" s="14">
        <v>1394.1130000000001</v>
      </c>
      <c r="K291" s="14">
        <v>218.887</v>
      </c>
    </row>
    <row r="292" spans="1:11" x14ac:dyDescent="0.35">
      <c r="A292" s="3">
        <v>43647</v>
      </c>
      <c r="B292" s="4">
        <v>21505.011999999999</v>
      </c>
      <c r="C292" s="4">
        <v>2214.9490000000001</v>
      </c>
      <c r="D292" s="4">
        <v>18464.749</v>
      </c>
      <c r="E292" s="21">
        <f>(I292+J292)/D292</f>
        <v>0.16840288486997576</v>
      </c>
      <c r="F292" s="12">
        <f>K292/C292</f>
        <v>9.3226525757477932E-2</v>
      </c>
      <c r="G292" s="13">
        <v>18464.749</v>
      </c>
      <c r="H292" s="14">
        <v>2333.1930000000002</v>
      </c>
      <c r="I292" s="14">
        <v>1707.78</v>
      </c>
      <c r="J292" s="14">
        <v>1401.7370000000001</v>
      </c>
      <c r="K292" s="14">
        <v>206.49199999999999</v>
      </c>
    </row>
    <row r="293" spans="1:11" x14ac:dyDescent="0.35">
      <c r="A293" s="3">
        <v>43739</v>
      </c>
      <c r="B293" s="4">
        <v>21694.457999999999</v>
      </c>
      <c r="C293" s="4">
        <v>2279.5360000000001</v>
      </c>
      <c r="D293" s="4">
        <v>18648.499</v>
      </c>
      <c r="E293" s="21">
        <f>(I293+J293)/D293</f>
        <v>0.16890619454144806</v>
      </c>
      <c r="F293" s="12">
        <f>K293/C293</f>
        <v>0.10153162748910304</v>
      </c>
      <c r="G293" s="13">
        <v>18648.499</v>
      </c>
      <c r="H293" s="14">
        <v>2350.8000000000002</v>
      </c>
      <c r="I293" s="14">
        <v>1728.5740000000001</v>
      </c>
      <c r="J293" s="14">
        <v>1421.2729999999999</v>
      </c>
      <c r="K293" s="14">
        <v>231.44499999999999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Narrative Shocks_READ ME</vt:lpstr>
      <vt:lpstr>Narrative Shocks (Quarterly)</vt:lpstr>
      <vt:lpstr>DATA</vt:lpstr>
      <vt:lpstr>Chart1_CI</vt:lpstr>
      <vt:lpstr>Chart2_PI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Hanson</dc:creator>
  <cp:lastModifiedBy>Daniela Hauser</cp:lastModifiedBy>
  <dcterms:created xsi:type="dcterms:W3CDTF">2019-07-22T19:05:50Z</dcterms:created>
  <dcterms:modified xsi:type="dcterms:W3CDTF">2021-09-15T22:01:32Z</dcterms:modified>
</cp:coreProperties>
</file>